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jack\v3_fsroot\FS\国際交流・基地政策課共有\交流推進担当固有事務\03_国際化推進\外国語情報発信事業\組織・役職等\R08年度\"/>
    </mc:Choice>
  </mc:AlternateContent>
  <xr:revisionPtr revIDLastSave="0" documentId="13_ncr:1_{1BA7D551-711B-4813-93A2-BB9EA6E03BFF}" xr6:coauthVersionLast="47" xr6:coauthVersionMax="47" xr10:uidLastSave="{00000000-0000-0000-0000-000000000000}"/>
  <bookViews>
    <workbookView xWindow="-120" yWindow="-120" windowWidth="29040" windowHeight="15720" xr2:uid="{8CA40E2D-67FD-47CE-85A9-85D69825151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13" i="2" l="1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H2" i="2"/>
  <c r="I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1" i="2"/>
  <c r="F1" i="2"/>
  <c r="G1" i="2" s="1"/>
  <c r="F2" i="2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I9" i="2" l="1"/>
  <c r="I48" i="2"/>
  <c r="I49" i="2" s="1"/>
  <c r="I192" i="2"/>
  <c r="I40" i="2"/>
  <c r="I41" i="2" s="1"/>
  <c r="I42" i="2" s="1"/>
  <c r="I43" i="2" s="1"/>
  <c r="I44" i="2" s="1"/>
  <c r="I32" i="2"/>
  <c r="I33" i="2" s="1"/>
  <c r="I34" i="2" s="1"/>
  <c r="I35" i="2" s="1"/>
  <c r="I36" i="2" s="1"/>
  <c r="I182" i="2"/>
  <c r="I183" i="2" s="1"/>
  <c r="I184" i="2" s="1"/>
  <c r="I126" i="2"/>
  <c r="I118" i="2"/>
  <c r="I119" i="2" s="1"/>
  <c r="I120" i="2" s="1"/>
  <c r="I121" i="2" s="1"/>
  <c r="I122" i="2" s="1"/>
  <c r="I123" i="2" s="1"/>
  <c r="I124" i="2" s="1"/>
  <c r="I56" i="2"/>
  <c r="I57" i="2" s="1"/>
  <c r="I58" i="2" s="1"/>
  <c r="I59" i="2" s="1"/>
  <c r="I60" i="2" s="1"/>
  <c r="I61" i="2" s="1"/>
  <c r="I62" i="2" s="1"/>
  <c r="I63" i="2" s="1"/>
  <c r="I64" i="2" s="1"/>
  <c r="I210" i="2"/>
  <c r="I211" i="2" s="1"/>
  <c r="I212" i="2" s="1"/>
  <c r="I178" i="2"/>
  <c r="I170" i="2"/>
  <c r="I171" i="2" s="1"/>
  <c r="I138" i="2"/>
  <c r="I50" i="2"/>
  <c r="I51" i="2" s="1"/>
  <c r="I52" i="2" s="1"/>
  <c r="I134" i="2"/>
  <c r="I135" i="2" s="1"/>
  <c r="I66" i="2"/>
  <c r="I30" i="2"/>
  <c r="I26" i="2"/>
  <c r="I22" i="2"/>
  <c r="I23" i="2" s="1"/>
  <c r="I18" i="2"/>
  <c r="I19" i="2" s="1"/>
  <c r="I20" i="2" s="1"/>
  <c r="I21" i="2" s="1"/>
  <c r="I14" i="2"/>
  <c r="I10" i="2"/>
  <c r="I11" i="2" s="1"/>
  <c r="I209" i="2"/>
  <c r="I205" i="2"/>
  <c r="I206" i="2" s="1"/>
  <c r="I197" i="2"/>
  <c r="I193" i="2"/>
  <c r="I185" i="2"/>
  <c r="I186" i="2" s="1"/>
  <c r="I187" i="2" s="1"/>
  <c r="I188" i="2" s="1"/>
  <c r="I189" i="2" s="1"/>
  <c r="I190" i="2" s="1"/>
  <c r="I181" i="2"/>
  <c r="I177" i="2"/>
  <c r="I173" i="2"/>
  <c r="I174" i="2" s="1"/>
  <c r="I169" i="2"/>
  <c r="I161" i="2"/>
  <c r="I162" i="2" s="1"/>
  <c r="I163" i="2" s="1"/>
  <c r="I164" i="2" s="1"/>
  <c r="I165" i="2" s="1"/>
  <c r="I166" i="2" s="1"/>
  <c r="I167" i="2" s="1"/>
  <c r="I157" i="2"/>
  <c r="I141" i="2"/>
  <c r="I142" i="2" s="1"/>
  <c r="I125" i="2"/>
  <c r="I73" i="2"/>
  <c r="I74" i="2" s="1"/>
  <c r="I65" i="2"/>
  <c r="I53" i="2"/>
  <c r="I54" i="2" s="1"/>
  <c r="I55" i="2" s="1"/>
  <c r="I45" i="2"/>
  <c r="I46" i="2" s="1"/>
  <c r="I37" i="2"/>
  <c r="I38" i="2" s="1"/>
  <c r="I29" i="2"/>
  <c r="I194" i="2"/>
  <c r="I195" i="2" s="1"/>
  <c r="I196" i="2" s="1"/>
  <c r="I154" i="2"/>
  <c r="I155" i="2" s="1"/>
  <c r="I156" i="2" s="1"/>
  <c r="I208" i="2"/>
  <c r="I176" i="2"/>
  <c r="I172" i="2"/>
  <c r="I168" i="2"/>
  <c r="I160" i="2"/>
  <c r="I144" i="2"/>
  <c r="I145" i="2" s="1"/>
  <c r="I146" i="2" s="1"/>
  <c r="I147" i="2" s="1"/>
  <c r="I148" i="2" s="1"/>
  <c r="I149" i="2" s="1"/>
  <c r="I150" i="2" s="1"/>
  <c r="I151" i="2" s="1"/>
  <c r="I152" i="2" s="1"/>
  <c r="I153" i="2" s="1"/>
  <c r="I136" i="2"/>
  <c r="I137" i="2" s="1"/>
  <c r="I128" i="2"/>
  <c r="I129" i="2" s="1"/>
  <c r="I130" i="2" s="1"/>
  <c r="I116" i="2"/>
  <c r="I117" i="2" s="1"/>
  <c r="I104" i="2"/>
  <c r="I105" i="2" s="1"/>
  <c r="I106" i="2" s="1"/>
  <c r="I107" i="2" s="1"/>
  <c r="I108" i="2" s="1"/>
  <c r="I109" i="2" s="1"/>
  <c r="I110" i="2" s="1"/>
  <c r="I88" i="2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24" i="2"/>
  <c r="I25" i="2" s="1"/>
  <c r="I16" i="2"/>
  <c r="I17" i="2" s="1"/>
  <c r="I12" i="2"/>
  <c r="I13" i="2" s="1"/>
  <c r="I8" i="2"/>
  <c r="I4" i="2"/>
  <c r="I5" i="2" s="1"/>
  <c r="I6" i="2" s="1"/>
  <c r="I7" i="2" s="1"/>
  <c r="I198" i="2"/>
  <c r="I199" i="2" s="1"/>
  <c r="I200" i="2" s="1"/>
  <c r="I201" i="2" s="1"/>
  <c r="I202" i="2" s="1"/>
  <c r="I158" i="2"/>
  <c r="I159" i="2" s="1"/>
  <c r="I114" i="2"/>
  <c r="I115" i="2" s="1"/>
  <c r="I207" i="2"/>
  <c r="I203" i="2"/>
  <c r="I204" i="2" s="1"/>
  <c r="I191" i="2"/>
  <c r="I179" i="2"/>
  <c r="I180" i="2" s="1"/>
  <c r="I175" i="2"/>
  <c r="I143" i="2"/>
  <c r="I139" i="2"/>
  <c r="I140" i="2" s="1"/>
  <c r="I131" i="2"/>
  <c r="I132" i="2" s="1"/>
  <c r="I133" i="2" s="1"/>
  <c r="I127" i="2"/>
  <c r="I111" i="2"/>
  <c r="I112" i="2" s="1"/>
  <c r="I113" i="2" s="1"/>
  <c r="I83" i="2"/>
  <c r="I84" i="2" s="1"/>
  <c r="I85" i="2" s="1"/>
  <c r="I86" i="2" s="1"/>
  <c r="I87" i="2" s="1"/>
  <c r="I75" i="2"/>
  <c r="I76" i="2" s="1"/>
  <c r="I77" i="2" s="1"/>
  <c r="I78" i="2" s="1"/>
  <c r="I79" i="2" s="1"/>
  <c r="I80" i="2" s="1"/>
  <c r="I81" i="2" s="1"/>
  <c r="I82" i="2" s="1"/>
  <c r="I71" i="2"/>
  <c r="I72" i="2" s="1"/>
  <c r="I67" i="2"/>
  <c r="I68" i="2" s="1"/>
  <c r="I69" i="2" s="1"/>
  <c r="I70" i="2" s="1"/>
  <c r="I47" i="2"/>
  <c r="I39" i="2"/>
  <c r="I31" i="2"/>
  <c r="I27" i="2"/>
  <c r="I28" i="2" s="1"/>
  <c r="I15" i="2"/>
  <c r="I3" i="2"/>
</calcChain>
</file>

<file path=xl/sharedStrings.xml><?xml version="1.0" encoding="utf-8"?>
<sst xmlns="http://schemas.openxmlformats.org/spreadsheetml/2006/main" count="2017" uniqueCount="940">
  <si>
    <t>市長室</t>
    <rPh sb="0" eb="2">
      <t>シチョウ</t>
    </rPh>
    <rPh sb="2" eb="3">
      <t>シツ</t>
    </rPh>
    <phoneticPr fontId="2"/>
  </si>
  <si>
    <t>Mayor's Office</t>
    <phoneticPr fontId="2"/>
  </si>
  <si>
    <t>　秘書課</t>
    <rPh sb="1" eb="4">
      <t>ヒショカ</t>
    </rPh>
    <phoneticPr fontId="2"/>
  </si>
  <si>
    <t>　危機管理課</t>
    <rPh sb="1" eb="3">
      <t>キキ</t>
    </rPh>
    <rPh sb="3" eb="6">
      <t>カンリカ</t>
    </rPh>
    <phoneticPr fontId="2"/>
  </si>
  <si>
    <t>（危機管理監）</t>
    <rPh sb="1" eb="3">
      <t>キキ</t>
    </rPh>
    <rPh sb="3" eb="5">
      <t>カンリ</t>
    </rPh>
    <rPh sb="5" eb="6">
      <t>カン</t>
    </rPh>
    <phoneticPr fontId="2"/>
  </si>
  <si>
    <t>　人権・ダイバーシティ推進課</t>
    <rPh sb="1" eb="3">
      <t>ジンケン</t>
    </rPh>
    <rPh sb="11" eb="13">
      <t>スイシン</t>
    </rPh>
    <rPh sb="13" eb="14">
      <t>カ</t>
    </rPh>
    <phoneticPr fontId="2"/>
  </si>
  <si>
    <t>　国際交流・基地政策課</t>
    <rPh sb="1" eb="3">
      <t>コクサイ</t>
    </rPh>
    <rPh sb="3" eb="5">
      <t>コウリュウ</t>
    </rPh>
    <rPh sb="6" eb="8">
      <t>キチ</t>
    </rPh>
    <rPh sb="8" eb="10">
      <t>セイサク</t>
    </rPh>
    <rPh sb="10" eb="11">
      <t>カ</t>
    </rPh>
    <phoneticPr fontId="2"/>
  </si>
  <si>
    <t>経営企画部</t>
    <rPh sb="0" eb="2">
      <t>ケイエイ</t>
    </rPh>
    <rPh sb="2" eb="4">
      <t>キカク</t>
    </rPh>
    <rPh sb="4" eb="5">
      <t>ブ</t>
    </rPh>
    <phoneticPr fontId="2"/>
  </si>
  <si>
    <t>Management and Planning Department</t>
    <phoneticPr fontId="2"/>
  </si>
  <si>
    <t>　企画調整課</t>
    <rPh sb="1" eb="3">
      <t>キカク</t>
    </rPh>
    <rPh sb="3" eb="5">
      <t>チョウセイ</t>
    </rPh>
    <rPh sb="5" eb="6">
      <t>カ</t>
    </rPh>
    <phoneticPr fontId="2"/>
  </si>
  <si>
    <t>　都市戦略課</t>
    <rPh sb="1" eb="3">
      <t>トシ</t>
    </rPh>
    <rPh sb="3" eb="5">
      <t>センリャク</t>
    </rPh>
    <rPh sb="5" eb="6">
      <t>カ</t>
    </rPh>
    <phoneticPr fontId="2"/>
  </si>
  <si>
    <t>　広報課</t>
    <rPh sb="1" eb="4">
      <t>コウホウカ</t>
    </rPh>
    <phoneticPr fontId="2"/>
  </si>
  <si>
    <t>総務部</t>
    <rPh sb="0" eb="2">
      <t>ソウム</t>
    </rPh>
    <rPh sb="2" eb="3">
      <t>ブ</t>
    </rPh>
    <phoneticPr fontId="2"/>
  </si>
  <si>
    <t>General Affairs Department</t>
  </si>
  <si>
    <t>　会計課</t>
    <rPh sb="1" eb="4">
      <t>カイケイカ</t>
    </rPh>
    <phoneticPr fontId="2"/>
  </si>
  <si>
    <t>財務部</t>
    <rPh sb="0" eb="2">
      <t>ザイム</t>
    </rPh>
    <rPh sb="2" eb="3">
      <t>ブ</t>
    </rPh>
    <phoneticPr fontId="2"/>
  </si>
  <si>
    <t>Finance Department</t>
  </si>
  <si>
    <t>　財務管理課</t>
    <rPh sb="2" eb="3">
      <t>ム</t>
    </rPh>
    <rPh sb="3" eb="5">
      <t>カンリ</t>
    </rPh>
    <rPh sb="5" eb="6">
      <t>カ</t>
    </rPh>
    <phoneticPr fontId="2"/>
  </si>
  <si>
    <t>　財務課</t>
    <rPh sb="1" eb="3">
      <t>ザイム</t>
    </rPh>
    <rPh sb="3" eb="4">
      <t>カ</t>
    </rPh>
    <phoneticPr fontId="2"/>
  </si>
  <si>
    <t>　ＦＭ推進課</t>
    <rPh sb="3" eb="5">
      <t>スイシン</t>
    </rPh>
    <rPh sb="5" eb="6">
      <t>カ</t>
    </rPh>
    <phoneticPr fontId="2"/>
  </si>
  <si>
    <t>文化スポーツ観光部</t>
  </si>
  <si>
    <t>Culture, Sports, and Tourism Department</t>
    <phoneticPr fontId="2"/>
  </si>
  <si>
    <t>　スポーツ振興課</t>
    <rPh sb="5" eb="8">
      <t>シンコウカ</t>
    </rPh>
    <phoneticPr fontId="2"/>
  </si>
  <si>
    <t>　商業振興課</t>
    <rPh sb="1" eb="3">
      <t>ショウギョウ</t>
    </rPh>
    <rPh sb="3" eb="6">
      <t>シンコウカ</t>
    </rPh>
    <phoneticPr fontId="2"/>
  </si>
  <si>
    <t>　観光課</t>
    <rPh sb="1" eb="4">
      <t>カンコウカ</t>
    </rPh>
    <phoneticPr fontId="2"/>
  </si>
  <si>
    <t>　美術館運営課</t>
    <rPh sb="1" eb="4">
      <t>ビジュツカン</t>
    </rPh>
    <rPh sb="4" eb="6">
      <t>ウンエイ</t>
    </rPh>
    <rPh sb="6" eb="7">
      <t>カ</t>
    </rPh>
    <phoneticPr fontId="2"/>
  </si>
  <si>
    <t>税務部</t>
    <rPh sb="0" eb="2">
      <t>ゼイム</t>
    </rPh>
    <rPh sb="2" eb="3">
      <t>ブ</t>
    </rPh>
    <phoneticPr fontId="2"/>
  </si>
  <si>
    <t>Tax Department</t>
    <phoneticPr fontId="2"/>
  </si>
  <si>
    <t>　税制課</t>
    <rPh sb="1" eb="3">
      <t>ゼイセイ</t>
    </rPh>
    <rPh sb="3" eb="4">
      <t>カ</t>
    </rPh>
    <phoneticPr fontId="2"/>
  </si>
  <si>
    <t>北図書館</t>
    <rPh sb="0" eb="1">
      <t>キタ</t>
    </rPh>
    <rPh sb="1" eb="4">
      <t>トショカン</t>
    </rPh>
    <phoneticPr fontId="2"/>
  </si>
  <si>
    <t>南図書館</t>
    <rPh sb="0" eb="1">
      <t>ミナミ</t>
    </rPh>
    <rPh sb="1" eb="4">
      <t>トショカン</t>
    </rPh>
    <phoneticPr fontId="2"/>
  </si>
  <si>
    <t>児童図書館</t>
    <rPh sb="0" eb="2">
      <t>ジドウ</t>
    </rPh>
    <rPh sb="2" eb="5">
      <t>トショカン</t>
    </rPh>
    <phoneticPr fontId="2"/>
  </si>
  <si>
    <t>　　博物館運営課</t>
    <rPh sb="2" eb="5">
      <t>ハクブツカン</t>
    </rPh>
    <rPh sb="5" eb="7">
      <t>ウンエイ</t>
    </rPh>
    <rPh sb="7" eb="8">
      <t>カ</t>
    </rPh>
    <phoneticPr fontId="2"/>
  </si>
  <si>
    <t>民生局</t>
    <rPh sb="0" eb="3">
      <t>ミンセイキョク</t>
    </rPh>
    <phoneticPr fontId="2"/>
  </si>
  <si>
    <t>Citizen's Health and Welfare Bureau</t>
    <phoneticPr fontId="2"/>
  </si>
  <si>
    <t>　福祉こども部</t>
    <rPh sb="1" eb="3">
      <t>フクシ</t>
    </rPh>
    <rPh sb="6" eb="7">
      <t>ブ</t>
    </rPh>
    <phoneticPr fontId="2"/>
  </si>
  <si>
    <t>　　地域福祉課</t>
    <rPh sb="2" eb="4">
      <t>チイキ</t>
    </rPh>
    <rPh sb="4" eb="6">
      <t>フクシ</t>
    </rPh>
    <rPh sb="6" eb="7">
      <t>カ</t>
    </rPh>
    <phoneticPr fontId="2"/>
  </si>
  <si>
    <t>　　指導監査課</t>
    <rPh sb="2" eb="4">
      <t>シドウ</t>
    </rPh>
    <rPh sb="4" eb="6">
      <t>カンサ</t>
    </rPh>
    <rPh sb="6" eb="7">
      <t>カ</t>
    </rPh>
    <phoneticPr fontId="2"/>
  </si>
  <si>
    <t>　</t>
    <phoneticPr fontId="2"/>
  </si>
  <si>
    <t>点字図書館</t>
    <rPh sb="0" eb="2">
      <t>テンジ</t>
    </rPh>
    <rPh sb="2" eb="5">
      <t>トショカン</t>
    </rPh>
    <phoneticPr fontId="2"/>
  </si>
  <si>
    <t>　　生活支援課</t>
    <rPh sb="4" eb="6">
      <t>シエン</t>
    </rPh>
    <rPh sb="6" eb="7">
      <t>カ</t>
    </rPh>
    <phoneticPr fontId="2"/>
  </si>
  <si>
    <t>　　介護保険課</t>
    <rPh sb="2" eb="4">
      <t>カイゴ</t>
    </rPh>
    <rPh sb="4" eb="6">
      <t>ホケン</t>
    </rPh>
    <rPh sb="6" eb="7">
      <t>カ</t>
    </rPh>
    <phoneticPr fontId="2"/>
  </si>
  <si>
    <t>　　子育て支援課</t>
    <rPh sb="2" eb="4">
      <t>コソダ</t>
    </rPh>
    <rPh sb="5" eb="7">
      <t>シエン</t>
    </rPh>
    <rPh sb="7" eb="8">
      <t>カ</t>
    </rPh>
    <phoneticPr fontId="2"/>
  </si>
  <si>
    <t>　地域支援部</t>
    <rPh sb="1" eb="3">
      <t>チイキ</t>
    </rPh>
    <rPh sb="3" eb="5">
      <t>シエン</t>
    </rPh>
    <rPh sb="5" eb="6">
      <t>ブ</t>
    </rPh>
    <phoneticPr fontId="2"/>
  </si>
  <si>
    <t>市民サービスセンター中央店</t>
    <rPh sb="0" eb="2">
      <t>シミン</t>
    </rPh>
    <rPh sb="10" eb="13">
      <t>チュウオウテン</t>
    </rPh>
    <phoneticPr fontId="2"/>
  </si>
  <si>
    <t>市民サービスセンター久里浜店</t>
    <rPh sb="0" eb="2">
      <t>シミン</t>
    </rPh>
    <rPh sb="10" eb="13">
      <t>クリハマ</t>
    </rPh>
    <rPh sb="13" eb="14">
      <t>テン</t>
    </rPh>
    <phoneticPr fontId="2"/>
  </si>
  <si>
    <t>　健康部</t>
    <rPh sb="1" eb="3">
      <t>ケンコウ</t>
    </rPh>
    <rPh sb="3" eb="4">
      <t>ブ</t>
    </rPh>
    <phoneticPr fontId="2"/>
  </si>
  <si>
    <t>　　健康総務課</t>
    <rPh sb="2" eb="4">
      <t>ケンコウ</t>
    </rPh>
    <rPh sb="4" eb="7">
      <t>ソウムカ</t>
    </rPh>
    <phoneticPr fontId="2"/>
  </si>
  <si>
    <t>中央斎場</t>
    <rPh sb="0" eb="2">
      <t>チュウオウ</t>
    </rPh>
    <rPh sb="2" eb="4">
      <t>サイジョウ</t>
    </rPh>
    <phoneticPr fontId="2"/>
  </si>
  <si>
    <t>　　健康増進課</t>
    <rPh sb="2" eb="7">
      <t>ケンコウゾウシンカ</t>
    </rPh>
    <phoneticPr fontId="2"/>
  </si>
  <si>
    <t>　　健康管理支援課</t>
    <rPh sb="2" eb="4">
      <t>ケンコウ</t>
    </rPh>
    <rPh sb="4" eb="6">
      <t>カンリ</t>
    </rPh>
    <rPh sb="6" eb="8">
      <t>シエン</t>
    </rPh>
    <rPh sb="8" eb="9">
      <t>カ</t>
    </rPh>
    <phoneticPr fontId="2"/>
  </si>
  <si>
    <t>　　健康保険課</t>
    <rPh sb="2" eb="4">
      <t>ケンコウ</t>
    </rPh>
    <rPh sb="4" eb="6">
      <t>ホケン</t>
    </rPh>
    <rPh sb="6" eb="7">
      <t>カ</t>
    </rPh>
    <phoneticPr fontId="2"/>
  </si>
  <si>
    <t>　　保健所</t>
    <rPh sb="2" eb="5">
      <t>ホケンジョ</t>
    </rPh>
    <phoneticPr fontId="2"/>
  </si>
  <si>
    <t>　　　企画課</t>
    <rPh sb="3" eb="5">
      <t>キカク</t>
    </rPh>
    <rPh sb="5" eb="6">
      <t>カ</t>
    </rPh>
    <phoneticPr fontId="2"/>
  </si>
  <si>
    <t>　　　保健予防課</t>
    <rPh sb="3" eb="5">
      <t>ホケン</t>
    </rPh>
    <rPh sb="5" eb="8">
      <t>ヨボウカ</t>
    </rPh>
    <phoneticPr fontId="2"/>
  </si>
  <si>
    <t>　　　生活衛生課</t>
    <rPh sb="3" eb="5">
      <t>セイカツ</t>
    </rPh>
    <rPh sb="5" eb="8">
      <t>エイセイカ</t>
    </rPh>
    <phoneticPr fontId="2"/>
  </si>
  <si>
    <t>　　　健康安全科学センター</t>
    <rPh sb="3" eb="5">
      <t>ケンコウ</t>
    </rPh>
    <rPh sb="5" eb="7">
      <t>アンゼン</t>
    </rPh>
    <rPh sb="7" eb="9">
      <t>カガク</t>
    </rPh>
    <phoneticPr fontId="2"/>
  </si>
  <si>
    <t>　こども家庭支援センター（児童相談所）</t>
    <rPh sb="4" eb="6">
      <t>カテイ</t>
    </rPh>
    <rPh sb="6" eb="8">
      <t>シエン</t>
    </rPh>
    <phoneticPr fontId="2"/>
  </si>
  <si>
    <t>　　こども家庭支援課</t>
    <rPh sb="5" eb="7">
      <t>カテイ</t>
    </rPh>
    <rPh sb="7" eb="9">
      <t>シエン</t>
    </rPh>
    <rPh sb="9" eb="10">
      <t>カ</t>
    </rPh>
    <phoneticPr fontId="2"/>
  </si>
  <si>
    <t>　　こども給付課</t>
    <rPh sb="5" eb="7">
      <t>キュウフ</t>
    </rPh>
    <rPh sb="7" eb="8">
      <t>カ</t>
    </rPh>
    <phoneticPr fontId="2"/>
  </si>
  <si>
    <t>　　児童相談課</t>
    <rPh sb="2" eb="4">
      <t>ジドウ</t>
    </rPh>
    <rPh sb="4" eb="6">
      <t>ソウダン</t>
    </rPh>
    <rPh sb="6" eb="7">
      <t>カ</t>
    </rPh>
    <phoneticPr fontId="2"/>
  </si>
  <si>
    <t>環境部</t>
    <rPh sb="0" eb="3">
      <t>カンキョウブ</t>
    </rPh>
    <phoneticPr fontId="2"/>
  </si>
  <si>
    <t>　環境政策課</t>
    <rPh sb="1" eb="3">
      <t>カンキョウ</t>
    </rPh>
    <rPh sb="3" eb="5">
      <t>セイサク</t>
    </rPh>
    <rPh sb="5" eb="6">
      <t>カ</t>
    </rPh>
    <phoneticPr fontId="2"/>
  </si>
  <si>
    <t>　環境保全課</t>
    <rPh sb="1" eb="6">
      <t>カンキョウホゼンカ</t>
    </rPh>
    <phoneticPr fontId="2"/>
  </si>
  <si>
    <t>　環境施設課</t>
    <rPh sb="1" eb="3">
      <t>カンキョウ</t>
    </rPh>
    <rPh sb="3" eb="5">
      <t>シセツ</t>
    </rPh>
    <rPh sb="5" eb="6">
      <t>カ</t>
    </rPh>
    <phoneticPr fontId="2"/>
  </si>
  <si>
    <t>　広域処理センター</t>
    <rPh sb="1" eb="3">
      <t>コウイキ</t>
    </rPh>
    <rPh sb="3" eb="5">
      <t>ショリ</t>
    </rPh>
    <phoneticPr fontId="2"/>
  </si>
  <si>
    <t>　久里浜収集事務所</t>
    <rPh sb="1" eb="4">
      <t>クリハマ</t>
    </rPh>
    <rPh sb="4" eb="6">
      <t>シュウシュウ</t>
    </rPh>
    <rPh sb="6" eb="8">
      <t>ジム</t>
    </rPh>
    <rPh sb="8" eb="9">
      <t>ショ</t>
    </rPh>
    <phoneticPr fontId="2"/>
  </si>
  <si>
    <t>経済部</t>
    <rPh sb="0" eb="2">
      <t>ケイザイ</t>
    </rPh>
    <rPh sb="2" eb="3">
      <t>ブ</t>
    </rPh>
    <phoneticPr fontId="2"/>
  </si>
  <si>
    <t>Economic Department</t>
  </si>
  <si>
    <t>　経済企画課</t>
    <rPh sb="1" eb="3">
      <t>ケイザイ</t>
    </rPh>
    <rPh sb="3" eb="5">
      <t>キカク</t>
    </rPh>
    <rPh sb="5" eb="6">
      <t>カ</t>
    </rPh>
    <phoneticPr fontId="2"/>
  </si>
  <si>
    <t>　企業誘致・工業振興課</t>
    <rPh sb="1" eb="3">
      <t>キギョウ</t>
    </rPh>
    <rPh sb="3" eb="5">
      <t>ユウチ</t>
    </rPh>
    <rPh sb="6" eb="8">
      <t>コウギョウ</t>
    </rPh>
    <rPh sb="8" eb="10">
      <t>シンコウ</t>
    </rPh>
    <rPh sb="10" eb="11">
      <t>カ</t>
    </rPh>
    <phoneticPr fontId="2"/>
  </si>
  <si>
    <t>　創業・新産業支援課</t>
    <rPh sb="9" eb="10">
      <t>カ</t>
    </rPh>
    <phoneticPr fontId="2"/>
  </si>
  <si>
    <t>都市部</t>
    <rPh sb="0" eb="3">
      <t>トシブ</t>
    </rPh>
    <phoneticPr fontId="2"/>
  </si>
  <si>
    <t>City Planning Department</t>
  </si>
  <si>
    <t>　まちなみ景観課</t>
    <rPh sb="5" eb="7">
      <t>ケイカン</t>
    </rPh>
    <rPh sb="7" eb="8">
      <t>カ</t>
    </rPh>
    <phoneticPr fontId="2"/>
  </si>
  <si>
    <t>　市営住宅課</t>
    <rPh sb="1" eb="3">
      <t>シエイ</t>
    </rPh>
    <rPh sb="3" eb="5">
      <t>ジュウタク</t>
    </rPh>
    <rPh sb="5" eb="6">
      <t>カ</t>
    </rPh>
    <phoneticPr fontId="2"/>
  </si>
  <si>
    <t>　建築指導課</t>
    <rPh sb="1" eb="6">
      <t>ケンチクシドウカ</t>
    </rPh>
    <phoneticPr fontId="2"/>
  </si>
  <si>
    <t>建設部</t>
    <rPh sb="0" eb="2">
      <t>ケンセツ</t>
    </rPh>
    <rPh sb="2" eb="3">
      <t>ブ</t>
    </rPh>
    <phoneticPr fontId="2"/>
  </si>
  <si>
    <t>Construction Department</t>
    <phoneticPr fontId="2"/>
  </si>
  <si>
    <t>　土木用地課</t>
    <rPh sb="1" eb="3">
      <t>ドボク</t>
    </rPh>
    <rPh sb="3" eb="5">
      <t>ヨウチ</t>
    </rPh>
    <rPh sb="5" eb="6">
      <t>カ</t>
    </rPh>
    <phoneticPr fontId="2"/>
  </si>
  <si>
    <t>　道路整備課</t>
    <rPh sb="1" eb="3">
      <t>ドウロ</t>
    </rPh>
    <rPh sb="3" eb="5">
      <t>セイビ</t>
    </rPh>
    <rPh sb="5" eb="6">
      <t>カ</t>
    </rPh>
    <phoneticPr fontId="2"/>
  </si>
  <si>
    <t>　道路維持課</t>
    <rPh sb="1" eb="3">
      <t>ドウロ</t>
    </rPh>
    <rPh sb="3" eb="5">
      <t>イジ</t>
    </rPh>
    <rPh sb="5" eb="6">
      <t>カ</t>
    </rPh>
    <phoneticPr fontId="2"/>
  </si>
  <si>
    <t>上下水道局</t>
    <rPh sb="0" eb="2">
      <t>ジョウゲ</t>
    </rPh>
    <rPh sb="2" eb="4">
      <t>スイドウ</t>
    </rPh>
    <rPh sb="4" eb="5">
      <t>キョク</t>
    </rPh>
    <phoneticPr fontId="2"/>
  </si>
  <si>
    <t>Waterworks and Sewerage Bureau</t>
    <phoneticPr fontId="2"/>
  </si>
  <si>
    <t>　経営部</t>
    <rPh sb="1" eb="3">
      <t>ケイエイ</t>
    </rPh>
    <rPh sb="3" eb="4">
      <t>ブ</t>
    </rPh>
    <phoneticPr fontId="2"/>
  </si>
  <si>
    <t>　　経営料金課</t>
    <rPh sb="2" eb="4">
      <t>ケイエイ</t>
    </rPh>
    <rPh sb="4" eb="6">
      <t>リョウキン</t>
    </rPh>
    <rPh sb="6" eb="7">
      <t>カ</t>
    </rPh>
    <phoneticPr fontId="2"/>
  </si>
  <si>
    <t>　　経理課</t>
    <rPh sb="2" eb="5">
      <t>ケイリカ</t>
    </rPh>
    <phoneticPr fontId="2"/>
  </si>
  <si>
    <t>　　用地管理課</t>
    <rPh sb="2" eb="4">
      <t>ヨウチ</t>
    </rPh>
    <rPh sb="4" eb="7">
      <t>カンリカ</t>
    </rPh>
    <phoneticPr fontId="2"/>
  </si>
  <si>
    <t>　技術部</t>
    <rPh sb="1" eb="3">
      <t>ギジュツ</t>
    </rPh>
    <rPh sb="3" eb="4">
      <t>ブ</t>
    </rPh>
    <phoneticPr fontId="2"/>
  </si>
  <si>
    <t>　　計画課</t>
    <rPh sb="2" eb="5">
      <t>ケイカクカ</t>
    </rPh>
    <phoneticPr fontId="2"/>
  </si>
  <si>
    <t>　　給排水課</t>
    <rPh sb="2" eb="5">
      <t>キュウハイスイ</t>
    </rPh>
    <rPh sb="5" eb="6">
      <t>カ</t>
    </rPh>
    <phoneticPr fontId="2"/>
  </si>
  <si>
    <t>　　水道管路課</t>
    <rPh sb="2" eb="5">
      <t>スイドウカン</t>
    </rPh>
    <rPh sb="5" eb="6">
      <t>ロ</t>
    </rPh>
    <rPh sb="6" eb="7">
      <t>カ</t>
    </rPh>
    <phoneticPr fontId="2"/>
  </si>
  <si>
    <t>　　浄水課</t>
    <rPh sb="2" eb="4">
      <t>ジョウスイ</t>
    </rPh>
    <rPh sb="4" eb="5">
      <t>カ</t>
    </rPh>
    <phoneticPr fontId="2"/>
  </si>
  <si>
    <t>有馬浄水場</t>
    <rPh sb="0" eb="2">
      <t>アリマ</t>
    </rPh>
    <rPh sb="2" eb="5">
      <t>ジョウスイジョウ</t>
    </rPh>
    <phoneticPr fontId="2"/>
  </si>
  <si>
    <t>　　下水道管渠課</t>
    <rPh sb="2" eb="5">
      <t>ゲスイドウ</t>
    </rPh>
    <rPh sb="5" eb="6">
      <t>カン</t>
    </rPh>
    <rPh sb="6" eb="7">
      <t>キョ</t>
    </rPh>
    <rPh sb="7" eb="8">
      <t>カ</t>
    </rPh>
    <phoneticPr fontId="2"/>
  </si>
  <si>
    <t>　　水再生課</t>
    <rPh sb="2" eb="3">
      <t>ミズ</t>
    </rPh>
    <rPh sb="3" eb="5">
      <t>サイセイ</t>
    </rPh>
    <rPh sb="5" eb="6">
      <t>カ</t>
    </rPh>
    <phoneticPr fontId="2"/>
  </si>
  <si>
    <t>消防局</t>
    <rPh sb="0" eb="2">
      <t>ショウボウ</t>
    </rPh>
    <rPh sb="2" eb="3">
      <t>キョク</t>
    </rPh>
    <phoneticPr fontId="2"/>
  </si>
  <si>
    <t>Fire Bureau</t>
    <phoneticPr fontId="2"/>
  </si>
  <si>
    <t>　予防課</t>
    <rPh sb="1" eb="4">
      <t>ヨボウカ</t>
    </rPh>
    <phoneticPr fontId="2"/>
  </si>
  <si>
    <t>　警防課</t>
    <rPh sb="1" eb="4">
      <t>ケイボウカ</t>
    </rPh>
    <phoneticPr fontId="2"/>
  </si>
  <si>
    <t>　救急課</t>
    <rPh sb="1" eb="3">
      <t>キュウキュウ</t>
    </rPh>
    <rPh sb="3" eb="4">
      <t>カ</t>
    </rPh>
    <phoneticPr fontId="2"/>
  </si>
  <si>
    <t>　指令課</t>
    <rPh sb="1" eb="3">
      <t>シレイ</t>
    </rPh>
    <rPh sb="3" eb="4">
      <t>カ</t>
    </rPh>
    <phoneticPr fontId="2"/>
  </si>
  <si>
    <t>坂本出張所</t>
    <rPh sb="0" eb="2">
      <t>サカモト</t>
    </rPh>
    <rPh sb="2" eb="4">
      <t>シュッチョウ</t>
    </rPh>
    <rPh sb="4" eb="5">
      <t>ジョ</t>
    </rPh>
    <phoneticPr fontId="2"/>
  </si>
  <si>
    <t>平作出張所</t>
    <rPh sb="0" eb="2">
      <t>ヒラサク</t>
    </rPh>
    <rPh sb="2" eb="4">
      <t>シュッチョウ</t>
    </rPh>
    <rPh sb="4" eb="5">
      <t>ジョ</t>
    </rPh>
    <phoneticPr fontId="2"/>
  </si>
  <si>
    <t>三春町出張所</t>
    <rPh sb="0" eb="2">
      <t>ミハル</t>
    </rPh>
    <rPh sb="2" eb="3">
      <t>チョウ</t>
    </rPh>
    <rPh sb="3" eb="5">
      <t>シュッチョウ</t>
    </rPh>
    <rPh sb="5" eb="6">
      <t>ジョ</t>
    </rPh>
    <phoneticPr fontId="2"/>
  </si>
  <si>
    <t>追浜出張所</t>
    <rPh sb="0" eb="2">
      <t>オッパマ</t>
    </rPh>
    <rPh sb="2" eb="4">
      <t>シュッチョウ</t>
    </rPh>
    <rPh sb="4" eb="5">
      <t>ジョ</t>
    </rPh>
    <phoneticPr fontId="2"/>
  </si>
  <si>
    <t>長浦出張所</t>
    <rPh sb="0" eb="2">
      <t>ナガウラ</t>
    </rPh>
    <rPh sb="2" eb="4">
      <t>シュッチョウ</t>
    </rPh>
    <rPh sb="4" eb="5">
      <t>ジョ</t>
    </rPh>
    <phoneticPr fontId="2"/>
  </si>
  <si>
    <t>浦賀出張所</t>
    <rPh sb="0" eb="2">
      <t>ウラガ</t>
    </rPh>
    <rPh sb="2" eb="4">
      <t>シュッチョウ</t>
    </rPh>
    <rPh sb="4" eb="5">
      <t>ジョ</t>
    </rPh>
    <phoneticPr fontId="2"/>
  </si>
  <si>
    <t>久里浜出張所</t>
    <rPh sb="0" eb="3">
      <t>クリハマ</t>
    </rPh>
    <rPh sb="3" eb="5">
      <t>シュッチョウ</t>
    </rPh>
    <rPh sb="5" eb="6">
      <t>ジョ</t>
    </rPh>
    <phoneticPr fontId="2"/>
  </si>
  <si>
    <t>野比出張所</t>
    <rPh sb="0" eb="2">
      <t>ノビ</t>
    </rPh>
    <rPh sb="2" eb="4">
      <t>シュッチョウ</t>
    </rPh>
    <rPh sb="4" eb="5">
      <t>ジョ</t>
    </rPh>
    <phoneticPr fontId="2"/>
  </si>
  <si>
    <t>湘南国際村出張所</t>
    <rPh sb="0" eb="2">
      <t>ショウナン</t>
    </rPh>
    <rPh sb="2" eb="4">
      <t>コクサイ</t>
    </rPh>
    <rPh sb="4" eb="5">
      <t>ムラ</t>
    </rPh>
    <rPh sb="5" eb="7">
      <t>シュッチョウ</t>
    </rPh>
    <rPh sb="7" eb="8">
      <t>ジョ</t>
    </rPh>
    <phoneticPr fontId="2"/>
  </si>
  <si>
    <t>　三浦消防署</t>
    <rPh sb="1" eb="3">
      <t>ミウラ</t>
    </rPh>
    <rPh sb="3" eb="6">
      <t>ショウボウショ</t>
    </rPh>
    <phoneticPr fontId="2"/>
  </si>
  <si>
    <t>三崎出張所</t>
    <rPh sb="0" eb="2">
      <t>ミサキ</t>
    </rPh>
    <rPh sb="2" eb="4">
      <t>シュッチョウ</t>
    </rPh>
    <rPh sb="4" eb="5">
      <t>ジョ</t>
    </rPh>
    <phoneticPr fontId="2"/>
  </si>
  <si>
    <t>教育委員会事務局</t>
    <rPh sb="0" eb="2">
      <t>キョウイク</t>
    </rPh>
    <rPh sb="2" eb="5">
      <t>イインカイ</t>
    </rPh>
    <rPh sb="5" eb="8">
      <t>ジムキョク</t>
    </rPh>
    <phoneticPr fontId="2"/>
  </si>
  <si>
    <t>選挙管理委員会事務局</t>
    <rPh sb="0" eb="2">
      <t>センキョ</t>
    </rPh>
    <rPh sb="2" eb="4">
      <t>カンリ</t>
    </rPh>
    <rPh sb="4" eb="7">
      <t>イインカイ</t>
    </rPh>
    <rPh sb="7" eb="10">
      <t>ジムキョク</t>
    </rPh>
    <phoneticPr fontId="2"/>
  </si>
  <si>
    <t>監査委員事務局</t>
    <rPh sb="0" eb="2">
      <t>カンサ</t>
    </rPh>
    <rPh sb="2" eb="4">
      <t>イイン</t>
    </rPh>
    <rPh sb="4" eb="7">
      <t>ジムキョク</t>
    </rPh>
    <phoneticPr fontId="2"/>
  </si>
  <si>
    <t>　総務調査課</t>
    <rPh sb="3" eb="5">
      <t>チョウサ</t>
    </rPh>
    <phoneticPr fontId="2"/>
  </si>
  <si>
    <t>　　地域健康課</t>
    <rPh sb="2" eb="4">
      <t>チイキ</t>
    </rPh>
    <rPh sb="4" eb="6">
      <t>ケンコウ</t>
    </rPh>
    <rPh sb="6" eb="7">
      <t>カ</t>
    </rPh>
    <phoneticPr fontId="2"/>
  </si>
  <si>
    <t>　　事業用地課</t>
    <rPh sb="2" eb="4">
      <t>ジギョウ</t>
    </rPh>
    <rPh sb="4" eb="7">
      <t>ヨウチカ</t>
    </rPh>
    <phoneticPr fontId="2"/>
  </si>
  <si>
    <t>　　市民相談室</t>
    <rPh sb="2" eb="6">
      <t>シミンソウダン</t>
    </rPh>
    <rPh sb="6" eb="7">
      <t>シツ</t>
    </rPh>
    <phoneticPr fontId="1"/>
  </si>
  <si>
    <t>　建築計画課</t>
    <rPh sb="1" eb="3">
      <t>ケンチク</t>
    </rPh>
    <rPh sb="3" eb="5">
      <t>ケイカク</t>
    </rPh>
    <rPh sb="5" eb="6">
      <t>カ</t>
    </rPh>
    <phoneticPr fontId="2"/>
  </si>
  <si>
    <t>　宅地審査防災課</t>
    <rPh sb="1" eb="3">
      <t>タクチ</t>
    </rPh>
    <rPh sb="3" eb="5">
      <t>シンサ</t>
    </rPh>
    <rPh sb="5" eb="7">
      <t>ボウサイ</t>
    </rPh>
    <rPh sb="7" eb="8">
      <t>カ</t>
    </rPh>
    <phoneticPr fontId="2"/>
  </si>
  <si>
    <t>　自然環境・河川課</t>
    <rPh sb="1" eb="5">
      <t>シゼンカンキョウ</t>
    </rPh>
    <rPh sb="6" eb="8">
      <t>カセン</t>
    </rPh>
    <rPh sb="8" eb="9">
      <t>カ</t>
    </rPh>
    <phoneticPr fontId="2"/>
  </si>
  <si>
    <t>　公園管理課</t>
    <rPh sb="1" eb="3">
      <t>コウエン</t>
    </rPh>
    <rPh sb="3" eb="5">
      <t>カンリ</t>
    </rPh>
    <rPh sb="5" eb="6">
      <t>カ</t>
    </rPh>
    <phoneticPr fontId="2"/>
  </si>
  <si>
    <t>　公園建設課</t>
    <rPh sb="1" eb="3">
      <t>コウエン</t>
    </rPh>
    <rPh sb="3" eb="5">
      <t>ケンセツ</t>
    </rPh>
    <rPh sb="5" eb="6">
      <t>カ</t>
    </rPh>
    <phoneticPr fontId="2"/>
  </si>
  <si>
    <t>港湾部</t>
    <rPh sb="0" eb="2">
      <t>コウワン</t>
    </rPh>
    <rPh sb="2" eb="3">
      <t>ブ</t>
    </rPh>
    <phoneticPr fontId="2"/>
  </si>
  <si>
    <t>　港湾企画課</t>
    <rPh sb="3" eb="5">
      <t>キカク</t>
    </rPh>
    <phoneticPr fontId="2"/>
  </si>
  <si>
    <t>　港湾管理課</t>
    <rPh sb="1" eb="3">
      <t>コウワン</t>
    </rPh>
    <rPh sb="3" eb="5">
      <t>カンリ</t>
    </rPh>
    <rPh sb="5" eb="6">
      <t>カ</t>
    </rPh>
    <phoneticPr fontId="2"/>
  </si>
  <si>
    <t>　港湾整備課</t>
    <rPh sb="3" eb="5">
      <t>セイビ</t>
    </rPh>
    <phoneticPr fontId="2"/>
  </si>
  <si>
    <t>　Housing Site Inspection and Disaster Prevention Division</t>
  </si>
  <si>
    <t>（交流推進担当課長）</t>
  </si>
  <si>
    <t>（民間連携推進担当課長）</t>
  </si>
  <si>
    <t>（ゼロカーボン推進担当課長）</t>
  </si>
  <si>
    <t>　(まちづくり政策担当部長)</t>
  </si>
  <si>
    <t>（デジタル・ガバメント推進担当部長）</t>
  </si>
  <si>
    <t>(拠点整備推進担当課長)</t>
  </si>
  <si>
    <t>（人材育成担当課長）</t>
  </si>
  <si>
    <t>（アーバンスポーツ推進担当課長）</t>
  </si>
  <si>
    <t xml:space="preserve">       Urban Sports Promotion Director</t>
  </si>
  <si>
    <t>（放課後児童対策担当課長）</t>
  </si>
  <si>
    <t>Port Management Department</t>
  </si>
  <si>
    <t>（補修担当課長）</t>
  </si>
  <si>
    <t>（公園活用推進担当課長）</t>
  </si>
  <si>
    <t>（港営担当課長）</t>
  </si>
  <si>
    <t>（ふ頭整備担当課長）</t>
  </si>
  <si>
    <t>（管路維持担当課長）</t>
  </si>
  <si>
    <t>（教育情報担当課長）</t>
  </si>
  <si>
    <t xml:space="preserve">      Hometown Tax Planning Director</t>
  </si>
  <si>
    <t>（エンターテイメント推進担当課長）</t>
  </si>
  <si>
    <t>（プロモーション担当課長）</t>
  </si>
  <si>
    <t>　Child and Family Support Center</t>
  </si>
  <si>
    <t>　保育園</t>
  </si>
  <si>
    <t xml:space="preserve">          Nursery School</t>
  </si>
  <si>
    <t>　農水産業振興課</t>
  </si>
  <si>
    <t>（自然環境保全・活用担当課長）</t>
  </si>
  <si>
    <t>　　Natural Environment Conservation and Utilization Director</t>
  </si>
  <si>
    <t xml:space="preserve">Board of Education </t>
  </si>
  <si>
    <t>　教育総務部</t>
  </si>
  <si>
    <t>　Education General Affairs Department</t>
  </si>
  <si>
    <t>　　総務課</t>
  </si>
  <si>
    <t>　　教育政策課</t>
  </si>
  <si>
    <t>　　生涯学習課</t>
  </si>
  <si>
    <t>　　教職員課</t>
  </si>
  <si>
    <t>　　学校管理課</t>
  </si>
  <si>
    <t>　　中央図書館</t>
  </si>
  <si>
    <t>　　自然・人文博物館</t>
  </si>
  <si>
    <t>　学校教育部</t>
  </si>
  <si>
    <t>　　教育指導課</t>
  </si>
  <si>
    <t>　　支援教育課</t>
  </si>
  <si>
    <t>　　保健体育課</t>
  </si>
  <si>
    <t>　　学校食育課</t>
  </si>
  <si>
    <t>　　教育研究所</t>
  </si>
  <si>
    <t>　Schools and Education Department</t>
  </si>
  <si>
    <t>Election Administration Committee  　</t>
  </si>
  <si>
    <t>Audit Committee</t>
  </si>
  <si>
    <t>（会計管理者）</t>
    <rPh sb="1" eb="3">
      <t>カイケイ</t>
    </rPh>
    <rPh sb="3" eb="6">
      <t>カンリシャ</t>
    </rPh>
    <phoneticPr fontId="1"/>
  </si>
  <si>
    <t>（学芸担当課長）</t>
    <rPh sb="1" eb="3">
      <t>ガクゲイ</t>
    </rPh>
    <rPh sb="3" eb="5">
      <t>タントウ</t>
    </rPh>
    <rPh sb="5" eb="7">
      <t>カチョウ</t>
    </rPh>
    <phoneticPr fontId="1"/>
  </si>
  <si>
    <t>（施設更新担当課長）</t>
    <rPh sb="1" eb="3">
      <t>シセツ</t>
    </rPh>
    <rPh sb="3" eb="5">
      <t>コウシン</t>
    </rPh>
    <rPh sb="5" eb="7">
      <t>タントウ</t>
    </rPh>
    <rPh sb="7" eb="9">
      <t>カチョウ</t>
    </rPh>
    <phoneticPr fontId="1"/>
  </si>
  <si>
    <t xml:space="preserve">   Special Advisor to the Mayor, Tsunagu Director </t>
  </si>
  <si>
    <t xml:space="preserve">       Curatorial Director</t>
  </si>
  <si>
    <t xml:space="preserve">           Facility Renewal Director</t>
  </si>
  <si>
    <t xml:space="preserve">   (市長特命参与 （構造改革担当部長））</t>
    <rPh sb="12" eb="14">
      <t>コウゾウ</t>
    </rPh>
    <rPh sb="14" eb="16">
      <t>カイカク</t>
    </rPh>
    <rPh sb="16" eb="18">
      <t>タントウ</t>
    </rPh>
    <rPh sb="18" eb="20">
      <t>ブチョウ</t>
    </rPh>
    <phoneticPr fontId="1"/>
  </si>
  <si>
    <t>　デジタル・ガバメント推進室</t>
    <rPh sb="11" eb="13">
      <t>スイシン</t>
    </rPh>
    <rPh sb="13" eb="14">
      <t>シツ</t>
    </rPh>
    <phoneticPr fontId="2"/>
  </si>
  <si>
    <t>　まちづくり政策課</t>
    <rPh sb="5" eb="7">
      <t>セイサク</t>
    </rPh>
    <rPh sb="7" eb="8">
      <t>カ</t>
    </rPh>
    <phoneticPr fontId="2"/>
  </si>
  <si>
    <t>（法務担当課長）</t>
    <rPh sb="1" eb="7">
      <t>ホウムタントウカチョウ</t>
    </rPh>
    <phoneticPr fontId="1"/>
  </si>
  <si>
    <t>(行政センター改革推進担当課長）</t>
    <rPh sb="1" eb="3">
      <t>ギョウセイ</t>
    </rPh>
    <rPh sb="7" eb="9">
      <t>カイカク</t>
    </rPh>
    <rPh sb="9" eb="11">
      <t>スイシン</t>
    </rPh>
    <rPh sb="11" eb="13">
      <t>タントウ</t>
    </rPh>
    <rPh sb="13" eb="15">
      <t>カチョウ</t>
    </rPh>
    <phoneticPr fontId="1"/>
  </si>
  <si>
    <t>消費生活センター</t>
    <rPh sb="0" eb="2">
      <t>ショウヒ</t>
    </rPh>
    <rPh sb="2" eb="4">
      <t>セイカツ</t>
    </rPh>
    <phoneticPr fontId="1"/>
  </si>
  <si>
    <t>西分署</t>
    <phoneticPr fontId="1"/>
  </si>
  <si>
    <t>議会</t>
    <rPh sb="0" eb="2">
      <t>ギカイ</t>
    </rPh>
    <phoneticPr fontId="2"/>
  </si>
  <si>
    <t>公平委員会</t>
    <rPh sb="0" eb="5">
      <t>コウヘイイインカイ</t>
    </rPh>
    <phoneticPr fontId="1"/>
  </si>
  <si>
    <t>農業委員会</t>
    <rPh sb="0" eb="5">
      <t>ノウギョウイインカイ</t>
    </rPh>
    <phoneticPr fontId="1"/>
  </si>
  <si>
    <t>固定資産評価審査委員会</t>
    <rPh sb="0" eb="4">
      <t>コテイシサン</t>
    </rPh>
    <rPh sb="4" eb="6">
      <t>ヒョウカ</t>
    </rPh>
    <rPh sb="6" eb="8">
      <t>シンサ</t>
    </rPh>
    <rPh sb="8" eb="11">
      <t>イインカイ</t>
    </rPh>
    <phoneticPr fontId="1"/>
  </si>
  <si>
    <t>（保護担当課長）</t>
    <rPh sb="1" eb="5">
      <t>ホゴタントウ</t>
    </rPh>
    <rPh sb="5" eb="7">
      <t>カチョウ</t>
    </rPh>
    <phoneticPr fontId="1"/>
  </si>
  <si>
    <t>（公立保育園再編整備担当課長）</t>
    <rPh sb="1" eb="6">
      <t>コウリツホイクエン</t>
    </rPh>
    <rPh sb="6" eb="8">
      <t>サイヘン</t>
    </rPh>
    <rPh sb="8" eb="10">
      <t>セイビ</t>
    </rPh>
    <rPh sb="10" eb="14">
      <t>タントウカチョウ</t>
    </rPh>
    <phoneticPr fontId="1"/>
  </si>
  <si>
    <t>技術・検査担当課長</t>
    <rPh sb="0" eb="2">
      <t>ギジュツ</t>
    </rPh>
    <rPh sb="3" eb="9">
      <t>ケンサタントウカチョウ</t>
    </rPh>
    <phoneticPr fontId="1"/>
  </si>
  <si>
    <t>企画担当課長</t>
    <rPh sb="0" eb="2">
      <t>キカク</t>
    </rPh>
    <rPh sb="2" eb="4">
      <t>タントウ</t>
    </rPh>
    <rPh sb="4" eb="6">
      <t>カチョウ</t>
    </rPh>
    <phoneticPr fontId="1"/>
  </si>
  <si>
    <t>教育改革推進担当課長</t>
    <rPh sb="0" eb="10">
      <t>キョウイクカイカクスイシンタントウカチョウ</t>
    </rPh>
    <phoneticPr fontId="1"/>
  </si>
  <si>
    <t>システム標準化移行担当課長</t>
    <rPh sb="4" eb="7">
      <t>ヒョウジュンカ</t>
    </rPh>
    <rPh sb="7" eb="9">
      <t>イコウ</t>
    </rPh>
    <rPh sb="9" eb="13">
      <t>タントウカチョウ</t>
    </rPh>
    <phoneticPr fontId="1"/>
  </si>
  <si>
    <t xml:space="preserve">      System Standardization and Transition Director</t>
  </si>
  <si>
    <t xml:space="preserve">       Resident Consultations</t>
  </si>
  <si>
    <t>Mayor's Office</t>
  </si>
  <si>
    <t>　Secretarial Division</t>
  </si>
  <si>
    <t>　Crisis-Management Division</t>
  </si>
  <si>
    <t>　　Crisis-Management Chief</t>
  </si>
  <si>
    <t>　Human Rights and Diversity Promotion Division</t>
  </si>
  <si>
    <t xml:space="preserve">   (市長特命参与）</t>
  </si>
  <si>
    <t xml:space="preserve">   Special Advisor to the Mayor, Mayor's Office</t>
  </si>
  <si>
    <t>　 International Relations and Military Base Policy Division</t>
  </si>
  <si>
    <t>　　International Relations Director</t>
  </si>
  <si>
    <t>（横須賀市東京事務所・旧軍港市振興協議会担当課長）</t>
  </si>
  <si>
    <t>　　Yokosuka City Tokyo Office and Former Naval Base City Development
       Council Director</t>
  </si>
  <si>
    <t xml:space="preserve">   Special Advisor to the Mayor, Structural Reform Director-General</t>
  </si>
  <si>
    <t xml:space="preserve">   (市長特命参与（つなぐディレクター））</t>
  </si>
  <si>
    <t>Management and Planning Department</t>
  </si>
  <si>
    <t xml:space="preserve">    Planning and Coordination Division</t>
  </si>
  <si>
    <t>　　Public-Private Sector Coordination Director</t>
  </si>
  <si>
    <t>　City Strategy Division</t>
  </si>
  <si>
    <t>　　Zero Carbon Promotion Director</t>
  </si>
  <si>
    <t>　Public Affairs Division</t>
  </si>
  <si>
    <t>　 Digital Government Promotion Director-General</t>
  </si>
  <si>
    <t>　　Digital Government Promotion Division</t>
  </si>
  <si>
    <t xml:space="preserve">    City Development Policy Director-General </t>
  </si>
  <si>
    <t>　　City Development Policy Division</t>
  </si>
  <si>
    <t>　　  Site Development Director</t>
  </si>
  <si>
    <t>　　Commercial Land Division</t>
  </si>
  <si>
    <t>　総務課</t>
  </si>
  <si>
    <t>　General Affairs Division</t>
  </si>
  <si>
    <t>（総務事務担当課長）</t>
  </si>
  <si>
    <t>　  General Affairs Director</t>
  </si>
  <si>
    <t xml:space="preserve">     Judicial Affairs Director</t>
  </si>
  <si>
    <t>　人事課</t>
  </si>
  <si>
    <t>　Personnel Division</t>
  </si>
  <si>
    <t>　　Human Resource Development Director</t>
  </si>
  <si>
    <t xml:space="preserve">   Accounting Administrator</t>
  </si>
  <si>
    <t>　Accounting Division</t>
  </si>
  <si>
    <t>　Finance Administration Division</t>
  </si>
  <si>
    <t>　Finance Division</t>
  </si>
  <si>
    <t>　Facility Management Division</t>
  </si>
  <si>
    <t>　契約課</t>
  </si>
  <si>
    <t>　Contract Division</t>
  </si>
  <si>
    <t>Culture, Sports, and Tourism Department</t>
  </si>
  <si>
    <t>　企画課</t>
  </si>
  <si>
    <t>　Culture, Sports, and Tourism Planning Division</t>
  </si>
  <si>
    <t>　　Entertainment Promotion Director</t>
  </si>
  <si>
    <t>　文化振興課</t>
  </si>
  <si>
    <t>　Cultural Promotion Division</t>
  </si>
  <si>
    <t>　Sports Promotion Division</t>
  </si>
  <si>
    <t>　Commerce Promotion Division</t>
  </si>
  <si>
    <t>　Tourism Division</t>
  </si>
  <si>
    <t>　　City Promotion Director</t>
  </si>
  <si>
    <t>　Museum of Art Management Division</t>
  </si>
  <si>
    <t>Tax Department</t>
  </si>
  <si>
    <t>　Tax System Division</t>
  </si>
  <si>
    <t>　納税課</t>
  </si>
  <si>
    <t>　Tax Collection Division</t>
  </si>
  <si>
    <t>　市民税課</t>
  </si>
  <si>
    <t>　Municipal Tax Division</t>
  </si>
  <si>
    <t>　資産税課</t>
  </si>
  <si>
    <t>　Fixed Property Tax Division</t>
  </si>
  <si>
    <t>Citizen's Health and Welfare Bureau</t>
  </si>
  <si>
    <t>　Welfare and Children's Services Department</t>
  </si>
  <si>
    <t>　　福祉総務課</t>
  </si>
  <si>
    <t>　　Welfare General Affairs Division</t>
  </si>
  <si>
    <t>　　Community-Based Welfare Division</t>
  </si>
  <si>
    <t>　　Guidance and Inspection Division</t>
  </si>
  <si>
    <t>　　障害福祉課</t>
  </si>
  <si>
    <t>　　Disability Welfare Division</t>
  </si>
  <si>
    <t>　</t>
  </si>
  <si>
    <t>　　　Braille Library</t>
  </si>
  <si>
    <t>　　Livelihood Support Division</t>
  </si>
  <si>
    <t>　　Protective Custody Director</t>
  </si>
  <si>
    <t>　　Nursing Insurance Division</t>
  </si>
  <si>
    <t>　　Childcare Support Division</t>
  </si>
  <si>
    <t>　　　Public Nursery School Reorganization Director</t>
  </si>
  <si>
    <t xml:space="preserve">　　　After-school Daycare Policy Director </t>
  </si>
  <si>
    <t>　Regional Support Department</t>
  </si>
  <si>
    <t>　　市民生活課</t>
  </si>
  <si>
    <t>　　Civic Life Division</t>
  </si>
  <si>
    <t xml:space="preserve">      Consumer Affairs Center</t>
  </si>
  <si>
    <t>　　地域コミュニティ支援課</t>
  </si>
  <si>
    <t>　　Local Communities Support Division</t>
  </si>
  <si>
    <t xml:space="preserve">      Administration Center Reform Director</t>
  </si>
  <si>
    <t>　　窓口サービス課</t>
  </si>
  <si>
    <t>　　Counter Service Division</t>
  </si>
  <si>
    <t>　　　Chuo Public Service Center</t>
  </si>
  <si>
    <t>　　追浜行政センター</t>
  </si>
  <si>
    <t>　　Oppama Administration Center</t>
  </si>
  <si>
    <t>　　田浦行政センター</t>
  </si>
  <si>
    <t>　　Taura Administration Center</t>
  </si>
  <si>
    <t>　　逸見行政センター</t>
  </si>
  <si>
    <t>　　Hemi Administration Center</t>
  </si>
  <si>
    <t>　　衣笠行政センター</t>
  </si>
  <si>
    <t>　　Kinugasa Administration Center</t>
  </si>
  <si>
    <t>　　大津行政センター</t>
  </si>
  <si>
    <t>　　Otsu Administration Center</t>
  </si>
  <si>
    <t>　　浦賀行政センター</t>
  </si>
  <si>
    <t>　　Uraga Administration Center</t>
  </si>
  <si>
    <t>　　久里浜行政センター</t>
  </si>
  <si>
    <t>　　Kurihama Administration Center</t>
  </si>
  <si>
    <t>　　　Kurihama Public Service Center</t>
  </si>
  <si>
    <t>　　北下浦行政センター</t>
  </si>
  <si>
    <t>　　Kitashitaura Administration Center</t>
  </si>
  <si>
    <t>　　西行政センター</t>
  </si>
  <si>
    <t>　　Nishi Administration Center</t>
  </si>
  <si>
    <t>　Health Department</t>
  </si>
  <si>
    <t>　　Health General Affairs Division</t>
  </si>
  <si>
    <t>　　　Chuo Funeral Hall</t>
  </si>
  <si>
    <t>　　市立病院課</t>
  </si>
  <si>
    <t>　　Municipal Hospital Division</t>
  </si>
  <si>
    <t>　　Health Promotion Division</t>
  </si>
  <si>
    <t>　　Health Management Support Division</t>
  </si>
  <si>
    <t>　　Community Health Division</t>
  </si>
  <si>
    <t>　　Health Insurance Division</t>
  </si>
  <si>
    <t>　　Public Health Center</t>
  </si>
  <si>
    <t>　　　Planning and Policy Division</t>
  </si>
  <si>
    <t>（健康危機管理担当課長）</t>
  </si>
  <si>
    <t>　      Health Crisis Management Director</t>
  </si>
  <si>
    <t>　　　Health Protection Division</t>
  </si>
  <si>
    <t>　　　Sanitary Affairs Division</t>
  </si>
  <si>
    <t>　　　Institute of Public Health</t>
  </si>
  <si>
    <t>　　Child and Family Support Division</t>
  </si>
  <si>
    <t>　　Child Allowance Division</t>
  </si>
  <si>
    <t>　　Children's Guidance Division</t>
  </si>
  <si>
    <t>Environment Department</t>
  </si>
  <si>
    <t>　Environment Policy Division</t>
  </si>
  <si>
    <t>　Environmental Conservation Division</t>
  </si>
  <si>
    <t>　廃棄物対策課</t>
  </si>
  <si>
    <t xml:space="preserve">   Waste Management Division</t>
  </si>
  <si>
    <t xml:space="preserve">　Environmental Facilities Division </t>
  </si>
  <si>
    <t>　Wide-Area Disposal Center</t>
  </si>
  <si>
    <t>　Kurihama Waste Collection Office</t>
  </si>
  <si>
    <t>　Economic Planning Division</t>
  </si>
  <si>
    <t>　Business Attraction and Industrial Promotion Division</t>
  </si>
  <si>
    <t>（YRP研究開発推進担当課長）</t>
  </si>
  <si>
    <t>　   YRP Research and Development Promotion Director</t>
  </si>
  <si>
    <t>　Business Startup and New Industries Support Division</t>
  </si>
  <si>
    <t xml:space="preserve"> (ふるさと納税企画担当課長）</t>
  </si>
  <si>
    <t>　Agriculture and Fisheries Promotion Division</t>
  </si>
  <si>
    <t>　都市計画課</t>
  </si>
  <si>
    <t>　City Planning Division</t>
  </si>
  <si>
    <t>　Townscape Division</t>
  </si>
  <si>
    <t>　Municipal Housing Division</t>
  </si>
  <si>
    <t>　Construction Planning Division</t>
  </si>
  <si>
    <t>　Building Guidance Division</t>
  </si>
  <si>
    <t>Construction Department</t>
  </si>
  <si>
    <t>（建設総務課）</t>
  </si>
  <si>
    <t>　Construction General Affairs Division</t>
  </si>
  <si>
    <t xml:space="preserve">   Engineering and Inspection Director</t>
  </si>
  <si>
    <t xml:space="preserve">   Planning Director</t>
  </si>
  <si>
    <t>　Public Works Land Division</t>
  </si>
  <si>
    <t>　Road Construction and Improvement Division</t>
  </si>
  <si>
    <t>　　Road Repair Director</t>
  </si>
  <si>
    <t>　Road Maintenance Division</t>
  </si>
  <si>
    <t>　Natural Environment and Rivers Division</t>
  </si>
  <si>
    <t>　Parks Administration Division</t>
  </si>
  <si>
    <t>　　Parks Utilization Promotion Director</t>
  </si>
  <si>
    <t>　Parks Construction Division</t>
  </si>
  <si>
    <t>　Port Planning Division</t>
  </si>
  <si>
    <t>　Port Administration Division</t>
  </si>
  <si>
    <t>　　Port Management Director</t>
  </si>
  <si>
    <t>　Port Construction and Maintenance Division</t>
  </si>
  <si>
    <t>　　Pier Construction and Maintenance Director</t>
  </si>
  <si>
    <t>Waterworks and Sewerage Bureau</t>
  </si>
  <si>
    <t>　Management Department</t>
  </si>
  <si>
    <t>　　General Affairs Division</t>
  </si>
  <si>
    <t>　　Management and Fees Division</t>
  </si>
  <si>
    <t>　　Accounting Division</t>
  </si>
  <si>
    <t>　　Land Administration Division</t>
  </si>
  <si>
    <t>　Engineering Department</t>
  </si>
  <si>
    <t>　　Engineering Planning Division</t>
  </si>
  <si>
    <t>　　Water Supply and Sewerage Service Division</t>
  </si>
  <si>
    <t>　　Waterworks Pipeline Division</t>
  </si>
  <si>
    <t>　　　Pipeline Maintenance Director</t>
  </si>
  <si>
    <t>　　水道施設課</t>
  </si>
  <si>
    <t>　　Waterworks Facilities Division</t>
  </si>
  <si>
    <t>　　Water Purification Division</t>
  </si>
  <si>
    <t>　　　Arima Purification Plant</t>
  </si>
  <si>
    <t>　　Sewerage Pipeline and Drains Division</t>
  </si>
  <si>
    <t>　　Sewage Recycling Division</t>
  </si>
  <si>
    <t>Fire Bureau</t>
  </si>
  <si>
    <t>　Fire Prevention Division</t>
  </si>
  <si>
    <t>　Fire Suppression Division</t>
  </si>
  <si>
    <t>　Emergency Medical Services Division</t>
  </si>
  <si>
    <t>　Command and Control Division</t>
  </si>
  <si>
    <t>　中央消防署</t>
  </si>
  <si>
    <t>　Chuo Fire Station</t>
  </si>
  <si>
    <t>　　Sakamoto Branch</t>
  </si>
  <si>
    <t>　　Hirasaku Branch</t>
  </si>
  <si>
    <t>　　Miharu Branch</t>
  </si>
  <si>
    <t>　北消防署</t>
  </si>
  <si>
    <t>　Kita Fire Station</t>
  </si>
  <si>
    <t>　　Oppama Branch</t>
  </si>
  <si>
    <t>　　Nagaura Branch</t>
  </si>
  <si>
    <t>　南消防署</t>
  </si>
  <si>
    <t>　Minami Fire Station</t>
  </si>
  <si>
    <t>西分署</t>
  </si>
  <si>
    <t>　Nishi Fire Substation</t>
  </si>
  <si>
    <t>　　Uraga Branch</t>
  </si>
  <si>
    <t>　　Kurihama Branch</t>
  </si>
  <si>
    <t>　　Nobi Branch</t>
  </si>
  <si>
    <t>　　Shonankokusaimura Branch</t>
  </si>
  <si>
    <t>　Miura Fire Station</t>
  </si>
  <si>
    <t>　　Misaki Branch</t>
  </si>
  <si>
    <t>　　　Education Reform Director</t>
  </si>
  <si>
    <t>　　Education Policy Division</t>
  </si>
  <si>
    <t>　　Lifelong Learning Division</t>
  </si>
  <si>
    <t>　　Educational Personnel Division</t>
  </si>
  <si>
    <t>　　School Facilities Division</t>
  </si>
  <si>
    <t>　　Chuo Library</t>
  </si>
  <si>
    <t>　　　Kita Library</t>
  </si>
  <si>
    <t>　　　Minami Library</t>
  </si>
  <si>
    <t>　　　Children's Library</t>
  </si>
  <si>
    <t xml:space="preserve">　   Yokosuka City Museum </t>
  </si>
  <si>
    <t xml:space="preserve">　　Yokosuka City Museum Management Division </t>
  </si>
  <si>
    <t>　　Educational Research Institute</t>
  </si>
  <si>
    <t xml:space="preserve">　　　ICT Education Director </t>
  </si>
  <si>
    <t>　　Education Guidance Division</t>
  </si>
  <si>
    <t>　　Education Support Division</t>
  </si>
  <si>
    <t>　　Health and Physical Education Division</t>
  </si>
  <si>
    <t>　　School Lunch and Nutrition Education Division</t>
  </si>
  <si>
    <t>　選挙管理課</t>
  </si>
  <si>
    <t>　Election Administration Division</t>
  </si>
  <si>
    <t>　監査課</t>
  </si>
  <si>
    <t>　Audit and Inspection Division</t>
  </si>
  <si>
    <t>Equity Commission</t>
  </si>
  <si>
    <t>Agricultural Committee</t>
  </si>
  <si>
    <t>Central Fixed Assets Evaluation Council</t>
  </si>
  <si>
    <t xml:space="preserve">City Council </t>
  </si>
  <si>
    <t>　General Affairs and Investigation Division</t>
  </si>
  <si>
    <t>　議事課</t>
  </si>
  <si>
    <t>　Proceedings Division</t>
  </si>
  <si>
    <t>　Secretarial Division</t>
    <phoneticPr fontId="1"/>
  </si>
  <si>
    <t>市長室</t>
  </si>
  <si>
    <t>市長室</t>
    <rPh sb="0" eb="3">
      <t>シチョウシツ</t>
    </rPh>
    <phoneticPr fontId="1"/>
  </si>
  <si>
    <t>秘書課</t>
  </si>
  <si>
    <t>危機管理課</t>
  </si>
  <si>
    <t>人権・ダイバーシティ推進課</t>
  </si>
  <si>
    <t>国際交流・基地政策課</t>
  </si>
  <si>
    <t>経営企画部</t>
  </si>
  <si>
    <t>企画調整課</t>
  </si>
  <si>
    <t>都市戦略課</t>
  </si>
  <si>
    <t>広報課</t>
  </si>
  <si>
    <t>デジタル・ガバメント推進室</t>
  </si>
  <si>
    <t>まちづくり政策課</t>
  </si>
  <si>
    <t>事業用地課</t>
  </si>
  <si>
    <t>総務部</t>
  </si>
  <si>
    <t>総務課</t>
  </si>
  <si>
    <t>人事課</t>
  </si>
  <si>
    <t/>
  </si>
  <si>
    <t>市長特命参与</t>
  </si>
  <si>
    <t>横須賀市東京事務所・旧軍港市振興協議会担当課長</t>
  </si>
  <si>
    <t>市長特命参与 構造改革担当部長</t>
  </si>
  <si>
    <t>市長特命参与つなぐディレクター</t>
  </si>
  <si>
    <t>デジタル・ガバメント推進担当部長</t>
  </si>
  <si>
    <t>まちづくり政策担当部長</t>
  </si>
  <si>
    <t>会計管理者</t>
  </si>
  <si>
    <t>会計課</t>
  </si>
  <si>
    <t>財務部</t>
  </si>
  <si>
    <t>財務管理課</t>
  </si>
  <si>
    <t>財務課</t>
  </si>
  <si>
    <t>ＦＭ推進課</t>
  </si>
  <si>
    <t>契約課</t>
  </si>
  <si>
    <t>企画課</t>
  </si>
  <si>
    <t>文化振興課</t>
  </si>
  <si>
    <t>スポーツ振興課</t>
  </si>
  <si>
    <t>商業振興課</t>
  </si>
  <si>
    <t>観光課</t>
  </si>
  <si>
    <t>美術館運営課</t>
  </si>
  <si>
    <t>税務部</t>
  </si>
  <si>
    <t>税制課</t>
  </si>
  <si>
    <t>納税課</t>
  </si>
  <si>
    <t>市民税課</t>
  </si>
  <si>
    <t>資産税課</t>
  </si>
  <si>
    <t>民生局</t>
  </si>
  <si>
    <t>福祉こども部</t>
  </si>
  <si>
    <t>福祉総務課</t>
  </si>
  <si>
    <t>地域福祉課</t>
  </si>
  <si>
    <t>指導監査課</t>
  </si>
  <si>
    <t>障害福祉課</t>
  </si>
  <si>
    <t>生活支援課</t>
  </si>
  <si>
    <t>介護保険課</t>
  </si>
  <si>
    <t>子育て支援課</t>
  </si>
  <si>
    <t>地域支援部</t>
  </si>
  <si>
    <t>市民生活課</t>
  </si>
  <si>
    <t>市民相談室</t>
  </si>
  <si>
    <t>地域コミュニティ支援課</t>
  </si>
  <si>
    <t>窓口サービス課</t>
  </si>
  <si>
    <t>追浜行政センター</t>
  </si>
  <si>
    <t>田浦行政センター</t>
  </si>
  <si>
    <t>逸見行政センター</t>
  </si>
  <si>
    <t>衣笠行政センター</t>
  </si>
  <si>
    <t>大津行政センター</t>
  </si>
  <si>
    <t>浦賀行政センター</t>
  </si>
  <si>
    <t>久里浜行政センター</t>
  </si>
  <si>
    <t>北下浦行政センター</t>
  </si>
  <si>
    <t>西行政センター</t>
  </si>
  <si>
    <t>健康部</t>
  </si>
  <si>
    <t>健康総務課</t>
  </si>
  <si>
    <t>市立病院課</t>
  </si>
  <si>
    <t>健康増進課</t>
  </si>
  <si>
    <t>健康管理支援課</t>
  </si>
  <si>
    <t>地域健康課</t>
  </si>
  <si>
    <t>健康保険課</t>
  </si>
  <si>
    <t>保健所</t>
  </si>
  <si>
    <t>保健予防課</t>
  </si>
  <si>
    <t>生活衛生課</t>
  </si>
  <si>
    <t>健康安全科学センター</t>
  </si>
  <si>
    <t>こども家庭支援センター児童相談所</t>
  </si>
  <si>
    <t>こども家庭支援課</t>
  </si>
  <si>
    <t>こども給付課</t>
  </si>
  <si>
    <t>児童相談課</t>
  </si>
  <si>
    <t>環境部</t>
  </si>
  <si>
    <t>環境政策課</t>
  </si>
  <si>
    <t>環境保全課</t>
  </si>
  <si>
    <t>廃棄物対策課</t>
  </si>
  <si>
    <t>環境施設課</t>
  </si>
  <si>
    <t>広域処理センター</t>
  </si>
  <si>
    <t>久里浜収集事務所</t>
  </si>
  <si>
    <t>経済部</t>
  </si>
  <si>
    <t>経済企画課</t>
  </si>
  <si>
    <t>企業誘致・工業振興課</t>
  </si>
  <si>
    <t>創業・新産業支援課</t>
  </si>
  <si>
    <t>農水産業振興課</t>
  </si>
  <si>
    <t>都市部</t>
  </si>
  <si>
    <t>都市計画課</t>
  </si>
  <si>
    <t>まちなみ景観課</t>
  </si>
  <si>
    <t>市営住宅課</t>
  </si>
  <si>
    <t>建築計画課</t>
  </si>
  <si>
    <t>宅地審査防災課</t>
  </si>
  <si>
    <t>建築指導課</t>
  </si>
  <si>
    <t>建設部</t>
  </si>
  <si>
    <t>建設総務課</t>
  </si>
  <si>
    <t>土木用地課</t>
  </si>
  <si>
    <t>道路整備課</t>
  </si>
  <si>
    <t>道路維持課</t>
  </si>
  <si>
    <t>自然環境・河川課</t>
  </si>
  <si>
    <t>公園管理課</t>
  </si>
  <si>
    <t>公園建設課</t>
  </si>
  <si>
    <t>港湾部</t>
  </si>
  <si>
    <t>港湾企画課</t>
  </si>
  <si>
    <t>港湾管理課</t>
  </si>
  <si>
    <t>港湾整備課</t>
  </si>
  <si>
    <t>上下水道局</t>
  </si>
  <si>
    <t>経営部</t>
  </si>
  <si>
    <t>経営料金課</t>
  </si>
  <si>
    <t>経理課</t>
  </si>
  <si>
    <t>用地管理課</t>
  </si>
  <si>
    <t>技術部</t>
  </si>
  <si>
    <t>計画課</t>
  </si>
  <si>
    <t>給排水課</t>
  </si>
  <si>
    <t>水道管路課</t>
  </si>
  <si>
    <t>水道施設課</t>
  </si>
  <si>
    <t>浄水課</t>
  </si>
  <si>
    <t>下水道管渠課</t>
  </si>
  <si>
    <t>水再生課</t>
  </si>
  <si>
    <t>消防局</t>
  </si>
  <si>
    <t>予防課</t>
  </si>
  <si>
    <t>警防課</t>
  </si>
  <si>
    <t>救急課</t>
  </si>
  <si>
    <t>指令課</t>
  </si>
  <si>
    <t>中央消防署</t>
  </si>
  <si>
    <t>北消防署</t>
  </si>
  <si>
    <t>南消防署</t>
  </si>
  <si>
    <t>三浦消防署</t>
  </si>
  <si>
    <t>教育委員会事務局</t>
  </si>
  <si>
    <t>教育総務部</t>
  </si>
  <si>
    <t>教育政策課</t>
  </si>
  <si>
    <t>生涯学習課</t>
  </si>
  <si>
    <t>教職員課</t>
  </si>
  <si>
    <t>学校管理課</t>
  </si>
  <si>
    <t>中央図書館</t>
  </si>
  <si>
    <t>自然・人文博物館</t>
  </si>
  <si>
    <t>博物館運営課</t>
  </si>
  <si>
    <t>教育研究所</t>
  </si>
  <si>
    <t>学校教育部</t>
  </si>
  <si>
    <t>教育指導課</t>
  </si>
  <si>
    <t>支援教育課</t>
  </si>
  <si>
    <t>保健体育課</t>
  </si>
  <si>
    <t>学校食育課</t>
  </si>
  <si>
    <t>選挙管理委員会事務局</t>
  </si>
  <si>
    <t>選挙管理課</t>
  </si>
  <si>
    <t>監査委員事務局</t>
  </si>
  <si>
    <t>監査課</t>
  </si>
  <si>
    <t>公平委員会</t>
  </si>
  <si>
    <t>農業委員会</t>
  </si>
  <si>
    <t>固定資産評価審査委員会</t>
  </si>
  <si>
    <t>議会</t>
  </si>
  <si>
    <t>総務調査課</t>
  </si>
  <si>
    <t>議事課</t>
  </si>
  <si>
    <t>列1</t>
  </si>
  <si>
    <t>列2</t>
  </si>
  <si>
    <t>列3</t>
  </si>
  <si>
    <t>列4</t>
  </si>
  <si>
    <t>Secretarial Division</t>
  </si>
  <si>
    <t>Crisis-Management Division</t>
  </si>
  <si>
    <t>Human Rights and Diversity Promotion Division</t>
  </si>
  <si>
    <t>Special Advisor to the Mayor, Mayor's Office</t>
  </si>
  <si>
    <t>International Relations and Military Base Policy Division</t>
  </si>
  <si>
    <t>Yokosuka City Tokyo Office and Former Naval Base City Development
 Council Director</t>
  </si>
  <si>
    <t>Special Advisor to the Mayor, Structural Reform Director-General</t>
  </si>
  <si>
    <t>Special Advisor to the Mayor, Tsunagu Director</t>
  </si>
  <si>
    <t>Planning and Coordination Division</t>
  </si>
  <si>
    <t>City Strategy Division</t>
  </si>
  <si>
    <t>Public Affairs Division</t>
  </si>
  <si>
    <t>Digital Government Promotion Director-General</t>
  </si>
  <si>
    <t>Digital Government Promotion Division</t>
  </si>
  <si>
    <t>City Development Policy Director-General</t>
  </si>
  <si>
    <t>City Development Policy Division</t>
  </si>
  <si>
    <t>Commercial Land Division</t>
  </si>
  <si>
    <t>General Affairs Division</t>
  </si>
  <si>
    <t>Personnel Division</t>
  </si>
  <si>
    <t>Accounting Administrator</t>
  </si>
  <si>
    <t>Accounting Division</t>
  </si>
  <si>
    <t>Finance Administration Division</t>
  </si>
  <si>
    <t>Finance Division</t>
  </si>
  <si>
    <t>Facility Management Division</t>
  </si>
  <si>
    <t>Contract Division</t>
  </si>
  <si>
    <t>Culture, Sports, and Tourism Planning Division</t>
  </si>
  <si>
    <t>Cultural Promotion Division</t>
  </si>
  <si>
    <t>Sports Promotion Division</t>
  </si>
  <si>
    <t>Commerce Promotion Division</t>
  </si>
  <si>
    <t>Tourism Division</t>
  </si>
  <si>
    <t>Museum of Art Management Division</t>
  </si>
  <si>
    <t>Tax System Division</t>
  </si>
  <si>
    <t>Tax Collection Division</t>
  </si>
  <si>
    <t>Municipal Tax Division</t>
  </si>
  <si>
    <t>Fixed Property Tax Division</t>
  </si>
  <si>
    <t>Welfare and Children's Services Department</t>
  </si>
  <si>
    <t>Welfare General Affairs Division</t>
  </si>
  <si>
    <t>Community-Based Welfare Division</t>
  </si>
  <si>
    <t>Guidance and Inspection Division</t>
  </si>
  <si>
    <t>Disability Welfare Division</t>
  </si>
  <si>
    <t>Livelihood Support Division</t>
  </si>
  <si>
    <t>Nursing Insurance Division</t>
  </si>
  <si>
    <t>Childcare Support Division</t>
  </si>
  <si>
    <t>Regional Support Department</t>
  </si>
  <si>
    <t>Civic Life Division</t>
  </si>
  <si>
    <t>Resident Consultations</t>
  </si>
  <si>
    <t>Local Communities Support Division</t>
  </si>
  <si>
    <t>Counter Service Division</t>
  </si>
  <si>
    <t>Oppama Administration Center</t>
  </si>
  <si>
    <t>Taura Administration Center</t>
  </si>
  <si>
    <t>Hemi Administration Center</t>
  </si>
  <si>
    <t>Kinugasa Administration Center</t>
  </si>
  <si>
    <t>Otsu Administration Center</t>
  </si>
  <si>
    <t>Uraga Administration Center</t>
  </si>
  <si>
    <t>Kurihama Administration Center</t>
  </si>
  <si>
    <t>Kitashitaura Administration Center</t>
  </si>
  <si>
    <t>Nishi Administration Center</t>
  </si>
  <si>
    <t>Health Department</t>
  </si>
  <si>
    <t>Health General Affairs Division</t>
  </si>
  <si>
    <t>Municipal Hospital Division</t>
  </si>
  <si>
    <t>Health Promotion Division</t>
  </si>
  <si>
    <t>Health Management Support Division</t>
  </si>
  <si>
    <t>Community Health Division</t>
  </si>
  <si>
    <t>Health Insurance Division</t>
  </si>
  <si>
    <t>Public Health Center</t>
  </si>
  <si>
    <t>Planning and Policy Division</t>
  </si>
  <si>
    <t>Health Protection Division</t>
  </si>
  <si>
    <t>Sanitary Affairs Division</t>
  </si>
  <si>
    <t>Institute of Public Health</t>
  </si>
  <si>
    <t>Child and Family Support Center</t>
  </si>
  <si>
    <t>Child and Family Support Division</t>
  </si>
  <si>
    <t>Child Allowance Division</t>
  </si>
  <si>
    <t>Children's Guidance Division</t>
  </si>
  <si>
    <t>Environment Policy Division</t>
  </si>
  <si>
    <t>Environmental Conservation Division</t>
  </si>
  <si>
    <t>Waste Management Division</t>
  </si>
  <si>
    <t>Environmental Facilities Division</t>
  </si>
  <si>
    <t>Wide-Area Disposal Center</t>
  </si>
  <si>
    <t>Kurihama Waste Collection Office</t>
  </si>
  <si>
    <t>Economic Planning Division</t>
  </si>
  <si>
    <t>Business Attraction and Industrial Promotion Division</t>
  </si>
  <si>
    <t>Business Startup and New Industries Support Division</t>
  </si>
  <si>
    <t>Agriculture and Fisheries Promotion Division</t>
  </si>
  <si>
    <t>City Planning Division</t>
  </si>
  <si>
    <t>Townscape Division</t>
  </si>
  <si>
    <t>Municipal Housing Division</t>
  </si>
  <si>
    <t>Construction Planning Division</t>
  </si>
  <si>
    <t>Housing Site Inspection and Disaster Prevention Division</t>
  </si>
  <si>
    <t>Building Guidance Division</t>
  </si>
  <si>
    <t>Construction General Affairs Division</t>
  </si>
  <si>
    <t>Public Works Land Division</t>
  </si>
  <si>
    <t>Road Construction and Improvement Division</t>
  </si>
  <si>
    <t>Road Maintenance Division</t>
  </si>
  <si>
    <t>Natural Environment and Rivers Division</t>
  </si>
  <si>
    <t>Parks Administration Division</t>
  </si>
  <si>
    <t>Parks Construction Division</t>
  </si>
  <si>
    <t>Port Planning Division</t>
  </si>
  <si>
    <t>Port Administration Division</t>
  </si>
  <si>
    <t>Port Construction and Maintenance Division</t>
  </si>
  <si>
    <t>Management Department</t>
  </si>
  <si>
    <t>Management and Fees Division</t>
  </si>
  <si>
    <t>Land Administration Division</t>
  </si>
  <si>
    <t>Engineering Department</t>
  </si>
  <si>
    <t>Engineering Planning Division</t>
  </si>
  <si>
    <t>Water Supply and Sewerage Service Division</t>
  </si>
  <si>
    <t>Waterworks Pipeline Division</t>
  </si>
  <si>
    <t>Waterworks Facilities Division</t>
  </si>
  <si>
    <t>Water Purification Division</t>
  </si>
  <si>
    <t>Sewerage Pipeline and Drains Division</t>
  </si>
  <si>
    <t>Sewage Recycling Division</t>
  </si>
  <si>
    <t>Fire Prevention Division</t>
  </si>
  <si>
    <t>Fire Suppression Division</t>
  </si>
  <si>
    <t>Emergency Medical Services Division</t>
  </si>
  <si>
    <t>Command and Control Division</t>
  </si>
  <si>
    <t>Chuo Fire Station</t>
  </si>
  <si>
    <t>Kita Fire Station</t>
  </si>
  <si>
    <t>Minami Fire Station</t>
  </si>
  <si>
    <t>Miura Fire Station</t>
  </si>
  <si>
    <t>Board of Education</t>
  </si>
  <si>
    <t>Education General Affairs Department</t>
  </si>
  <si>
    <t>Education Policy Division</t>
  </si>
  <si>
    <t>Lifelong Learning Division</t>
  </si>
  <si>
    <t>Educational Personnel Division</t>
  </si>
  <si>
    <t>School Facilities Division</t>
  </si>
  <si>
    <t>Chuo Library</t>
  </si>
  <si>
    <t>Yokosuka City Museum</t>
  </si>
  <si>
    <t>Yokosuka City Museum Management Division</t>
  </si>
  <si>
    <t>Educational Research Institute</t>
  </si>
  <si>
    <t>Schools and Education Department</t>
  </si>
  <si>
    <t>Education Guidance Division</t>
  </si>
  <si>
    <t>Education Support Division</t>
  </si>
  <si>
    <t>Health and Physical Education Division</t>
  </si>
  <si>
    <t>School Lunch and Nutrition Education Division</t>
  </si>
  <si>
    <t>Election Administration Committee</t>
  </si>
  <si>
    <t>Election Administration Division</t>
  </si>
  <si>
    <t>Audit and Inspection Division</t>
  </si>
  <si>
    <t>City Council</t>
  </si>
  <si>
    <t>General Affairs and Investigation Division</t>
  </si>
  <si>
    <t>Proceedings Division</t>
  </si>
  <si>
    <t>広報課</t>
    <rPh sb="0" eb="3">
      <t>コウホウカ</t>
    </rPh>
    <phoneticPr fontId="1"/>
  </si>
  <si>
    <t>Public Affairs Division</t>
    <phoneticPr fontId="1"/>
  </si>
  <si>
    <t>Secretarial Division</t>
    <phoneticPr fontId="1"/>
  </si>
  <si>
    <t>Crisis-Management Division</t>
    <phoneticPr fontId="2"/>
  </si>
  <si>
    <t>Crisis-Management Chief</t>
    <phoneticPr fontId="2"/>
  </si>
  <si>
    <t>Human Rights and Diversity Promotion Division</t>
    <phoneticPr fontId="2"/>
  </si>
  <si>
    <t>International Relations and Military Base Policy Division</t>
    <phoneticPr fontId="1"/>
  </si>
  <si>
    <t>International Relations Director</t>
    <phoneticPr fontId="1"/>
  </si>
  <si>
    <t>Yokosuka City Tokyo Office and Former Naval Base City Development Council Director</t>
    <phoneticPr fontId="1"/>
  </si>
  <si>
    <t>秘書課</t>
    <rPh sb="0" eb="3">
      <t>ヒショカ</t>
    </rPh>
    <phoneticPr fontId="2"/>
  </si>
  <si>
    <t>危機管理課</t>
    <rPh sb="0" eb="2">
      <t>キキ</t>
    </rPh>
    <rPh sb="2" eb="5">
      <t>カンリカ</t>
    </rPh>
    <phoneticPr fontId="2"/>
  </si>
  <si>
    <t>人権・ダイバーシティ推進課</t>
    <rPh sb="0" eb="2">
      <t>ジンケン</t>
    </rPh>
    <rPh sb="10" eb="12">
      <t>スイシン</t>
    </rPh>
    <rPh sb="12" eb="13">
      <t>カ</t>
    </rPh>
    <phoneticPr fontId="2"/>
  </si>
  <si>
    <t>(市長特命参与）</t>
    <phoneticPr fontId="1"/>
  </si>
  <si>
    <t>国際交流・基地政策課</t>
    <rPh sb="0" eb="2">
      <t>コクサイ</t>
    </rPh>
    <rPh sb="2" eb="4">
      <t>コウリュウ</t>
    </rPh>
    <rPh sb="5" eb="7">
      <t>キチ</t>
    </rPh>
    <rPh sb="7" eb="9">
      <t>セイサク</t>
    </rPh>
    <rPh sb="9" eb="10">
      <t>カ</t>
    </rPh>
    <phoneticPr fontId="2"/>
  </si>
  <si>
    <t>企画調整課</t>
    <rPh sb="0" eb="2">
      <t>キカク</t>
    </rPh>
    <rPh sb="2" eb="4">
      <t>チョウセイ</t>
    </rPh>
    <rPh sb="4" eb="5">
      <t>カ</t>
    </rPh>
    <phoneticPr fontId="2"/>
  </si>
  <si>
    <t>都市戦略課</t>
    <rPh sb="0" eb="2">
      <t>トシ</t>
    </rPh>
    <rPh sb="2" eb="4">
      <t>センリャク</t>
    </rPh>
    <rPh sb="4" eb="5">
      <t>カ</t>
    </rPh>
    <phoneticPr fontId="2"/>
  </si>
  <si>
    <t>デジタル・ガバメント推進室</t>
    <rPh sb="10" eb="12">
      <t>スイシン</t>
    </rPh>
    <rPh sb="12" eb="13">
      <t>シツ</t>
    </rPh>
    <phoneticPr fontId="2"/>
  </si>
  <si>
    <t>環境政策・ゼロカーボン推進課</t>
    <rPh sb="0" eb="4">
      <t>カンキョウセイサク</t>
    </rPh>
    <rPh sb="11" eb="14">
      <t>スイシンカ</t>
    </rPh>
    <phoneticPr fontId="2"/>
  </si>
  <si>
    <t>自然環境課</t>
    <rPh sb="0" eb="5">
      <t>シゼンカンキョウカ</t>
    </rPh>
    <phoneticPr fontId="2"/>
  </si>
  <si>
    <t>Planning and Coordination Division</t>
    <phoneticPr fontId="1"/>
  </si>
  <si>
    <t>City Strategy Division</t>
    <phoneticPr fontId="2"/>
  </si>
  <si>
    <t>Digital Government Promotion Director-General</t>
    <phoneticPr fontId="1"/>
  </si>
  <si>
    <t>Public-Private Sector Coordination Director</t>
    <phoneticPr fontId="1"/>
  </si>
  <si>
    <t>Site Development Director</t>
    <phoneticPr fontId="1"/>
  </si>
  <si>
    <t>(デジタル・ガバメント推進担当部長)</t>
    <phoneticPr fontId="1"/>
  </si>
  <si>
    <t>(環境政策担当部長)</t>
    <rPh sb="1" eb="5">
      <t>カンキョウセイサク</t>
    </rPh>
    <rPh sb="5" eb="9">
      <t>タントウブチョウ</t>
    </rPh>
    <phoneticPr fontId="1"/>
  </si>
  <si>
    <t>総務課</t>
    <phoneticPr fontId="2"/>
  </si>
  <si>
    <t>人事課</t>
    <phoneticPr fontId="2"/>
  </si>
  <si>
    <t>(会計管理者)</t>
    <rPh sb="1" eb="3">
      <t>カイケイ</t>
    </rPh>
    <rPh sb="3" eb="6">
      <t>カンリシャ</t>
    </rPh>
    <phoneticPr fontId="1"/>
  </si>
  <si>
    <t>会計課</t>
    <rPh sb="0" eb="3">
      <t>カイケイカ</t>
    </rPh>
    <phoneticPr fontId="2"/>
  </si>
  <si>
    <t>(危機管理監)</t>
    <rPh sb="1" eb="3">
      <t>キキ</t>
    </rPh>
    <rPh sb="3" eb="5">
      <t>カンリ</t>
    </rPh>
    <rPh sb="5" eb="6">
      <t>カン</t>
    </rPh>
    <phoneticPr fontId="2"/>
  </si>
  <si>
    <t>(交流推進担当課長)</t>
    <phoneticPr fontId="1"/>
  </si>
  <si>
    <t>(横須賀市東京事務所・旧軍港市振興協議会担当課長)</t>
    <phoneticPr fontId="1"/>
  </si>
  <si>
    <t>(市長特命参与（つなぐディレクター）)</t>
    <phoneticPr fontId="1"/>
  </si>
  <si>
    <t>(市長特命参与 （構造改革担当部長）)</t>
    <rPh sb="9" eb="11">
      <t>コウゾウ</t>
    </rPh>
    <rPh sb="11" eb="13">
      <t>カイカク</t>
    </rPh>
    <rPh sb="13" eb="15">
      <t>タントウ</t>
    </rPh>
    <rPh sb="15" eb="17">
      <t>ブチョウ</t>
    </rPh>
    <phoneticPr fontId="1"/>
  </si>
  <si>
    <t>(民間連携推進担当課長)</t>
    <phoneticPr fontId="1"/>
  </si>
  <si>
    <t>(まちづくり政策担当課長)</t>
    <rPh sb="6" eb="12">
      <t>セイサクタントウカチョウ</t>
    </rPh>
    <phoneticPr fontId="1"/>
  </si>
  <si>
    <t>(うわまち病院跡地活用推進担当課長)</t>
    <rPh sb="5" eb="7">
      <t>ビョウイン</t>
    </rPh>
    <rPh sb="7" eb="9">
      <t>アトチ</t>
    </rPh>
    <rPh sb="9" eb="11">
      <t>カツヨウ</t>
    </rPh>
    <rPh sb="11" eb="13">
      <t>スイシン</t>
    </rPh>
    <rPh sb="13" eb="15">
      <t>タントウ</t>
    </rPh>
    <rPh sb="15" eb="17">
      <t>カチョウ</t>
    </rPh>
    <phoneticPr fontId="1"/>
  </si>
  <si>
    <t>(総務事務担当課長)</t>
    <phoneticPr fontId="1"/>
  </si>
  <si>
    <t>(法務担当課長)</t>
    <rPh sb="1" eb="7">
      <t>ホウムタントウカチョウ</t>
    </rPh>
    <phoneticPr fontId="1"/>
  </si>
  <si>
    <t>(人材育成担当課長)</t>
    <phoneticPr fontId="1"/>
  </si>
  <si>
    <t>General Affairs Division</t>
    <phoneticPr fontId="2"/>
  </si>
  <si>
    <t>General Affairs Director</t>
    <phoneticPr fontId="1"/>
  </si>
  <si>
    <t>Judicial Affairs Director</t>
    <phoneticPr fontId="1"/>
  </si>
  <si>
    <t>Personnel Division</t>
    <phoneticPr fontId="2"/>
  </si>
  <si>
    <t>Human Resource Development Director</t>
    <phoneticPr fontId="1"/>
  </si>
  <si>
    <t>Accounting Administrator</t>
    <phoneticPr fontId="1"/>
  </si>
  <si>
    <t>Accounting Division</t>
    <phoneticPr fontId="2"/>
  </si>
  <si>
    <t>財務管理課</t>
    <rPh sb="1" eb="2">
      <t>ム</t>
    </rPh>
    <rPh sb="2" eb="4">
      <t>カンリ</t>
    </rPh>
    <rPh sb="4" eb="5">
      <t>カ</t>
    </rPh>
    <phoneticPr fontId="2"/>
  </si>
  <si>
    <t>財務課</t>
    <rPh sb="0" eb="2">
      <t>ザイム</t>
    </rPh>
    <rPh sb="2" eb="3">
      <t>カ</t>
    </rPh>
    <phoneticPr fontId="2"/>
  </si>
  <si>
    <t>ＦＭ推進課</t>
    <rPh sb="2" eb="4">
      <t>スイシン</t>
    </rPh>
    <rPh sb="4" eb="5">
      <t>カ</t>
    </rPh>
    <phoneticPr fontId="2"/>
  </si>
  <si>
    <t>契約課</t>
    <phoneticPr fontId="2"/>
  </si>
  <si>
    <t>Finance Administration Division</t>
    <phoneticPr fontId="2"/>
  </si>
  <si>
    <t>Finance Division</t>
    <phoneticPr fontId="2"/>
  </si>
  <si>
    <t>Facility Management Division</t>
    <phoneticPr fontId="2"/>
  </si>
  <si>
    <t>Contract Division</t>
    <phoneticPr fontId="2"/>
  </si>
  <si>
    <t>企画課</t>
    <phoneticPr fontId="2"/>
  </si>
  <si>
    <t>文化振興課</t>
    <phoneticPr fontId="2"/>
  </si>
  <si>
    <t>スポーツ振興課</t>
    <rPh sb="4" eb="7">
      <t>シンコウカ</t>
    </rPh>
    <phoneticPr fontId="2"/>
  </si>
  <si>
    <t>商業振興課</t>
    <rPh sb="0" eb="2">
      <t>ショウギョウ</t>
    </rPh>
    <rPh sb="2" eb="5">
      <t>シンコウカ</t>
    </rPh>
    <phoneticPr fontId="2"/>
  </si>
  <si>
    <t>観光課</t>
    <rPh sb="0" eb="3">
      <t>カンコウカ</t>
    </rPh>
    <phoneticPr fontId="2"/>
  </si>
  <si>
    <t>美術館運営課</t>
    <rPh sb="0" eb="3">
      <t>ビジュツカン</t>
    </rPh>
    <rPh sb="3" eb="5">
      <t>ウンエイ</t>
    </rPh>
    <rPh sb="5" eb="6">
      <t>カ</t>
    </rPh>
    <phoneticPr fontId="2"/>
  </si>
  <si>
    <t>(アーバンスポーツ推進担当課長)</t>
    <phoneticPr fontId="1"/>
  </si>
  <si>
    <t>(エンターテイメント推進担当課長)</t>
    <phoneticPr fontId="1"/>
  </si>
  <si>
    <t>Culture, Sports, and Tourism Planning Division</t>
    <phoneticPr fontId="2"/>
  </si>
  <si>
    <t>Urban Sports Promotion Director</t>
    <phoneticPr fontId="1"/>
  </si>
  <si>
    <t>Entertainment Promotion Director</t>
    <phoneticPr fontId="1"/>
  </si>
  <si>
    <t>Cultural Promotion Division</t>
    <phoneticPr fontId="1"/>
  </si>
  <si>
    <t>Sports Promotion Division</t>
    <phoneticPr fontId="2"/>
  </si>
  <si>
    <t>Commerce Promotion Division</t>
    <phoneticPr fontId="2"/>
  </si>
  <si>
    <t>Tourism Division</t>
    <phoneticPr fontId="2"/>
  </si>
  <si>
    <t>City Promotion Director</t>
    <phoneticPr fontId="1"/>
  </si>
  <si>
    <t>Museum of Art Management Division</t>
    <phoneticPr fontId="2"/>
  </si>
  <si>
    <t>Curatorial Director</t>
    <phoneticPr fontId="1"/>
  </si>
  <si>
    <t>(プロモーション担当課長)</t>
    <phoneticPr fontId="1"/>
  </si>
  <si>
    <t>(学芸担当課長)</t>
    <rPh sb="1" eb="3">
      <t>ガクゲイ</t>
    </rPh>
    <rPh sb="3" eb="5">
      <t>タントウ</t>
    </rPh>
    <rPh sb="5" eb="7">
      <t>カチョウ</t>
    </rPh>
    <phoneticPr fontId="1"/>
  </si>
  <si>
    <t>税制課</t>
    <rPh sb="0" eb="2">
      <t>ゼイセイ</t>
    </rPh>
    <rPh sb="2" eb="3">
      <t>カ</t>
    </rPh>
    <phoneticPr fontId="2"/>
  </si>
  <si>
    <t>納税課</t>
    <phoneticPr fontId="2"/>
  </si>
  <si>
    <t>市民税課</t>
    <phoneticPr fontId="2"/>
  </si>
  <si>
    <t>資産税課</t>
    <phoneticPr fontId="2"/>
  </si>
  <si>
    <t>Tax System Division</t>
    <phoneticPr fontId="2"/>
  </si>
  <si>
    <t>Tax Collection Division</t>
    <phoneticPr fontId="2"/>
  </si>
  <si>
    <t>Municipal Tax Division</t>
    <phoneticPr fontId="2"/>
  </si>
  <si>
    <t>Fixed Property Tax Division</t>
    <phoneticPr fontId="2"/>
  </si>
  <si>
    <t>福祉こども部</t>
    <rPh sb="0" eb="2">
      <t>フクシ</t>
    </rPh>
    <rPh sb="5" eb="6">
      <t>ブ</t>
    </rPh>
    <phoneticPr fontId="2"/>
  </si>
  <si>
    <t>Welfare and Children's Services Department</t>
    <phoneticPr fontId="1"/>
  </si>
  <si>
    <t>福祉総務課</t>
    <phoneticPr fontId="2"/>
  </si>
  <si>
    <t>地域福祉課</t>
    <rPh sb="0" eb="2">
      <t>チイキ</t>
    </rPh>
    <rPh sb="2" eb="4">
      <t>フクシ</t>
    </rPh>
    <rPh sb="4" eb="5">
      <t>カ</t>
    </rPh>
    <phoneticPr fontId="2"/>
  </si>
  <si>
    <t>指導監査課</t>
    <rPh sb="0" eb="2">
      <t>シドウ</t>
    </rPh>
    <rPh sb="2" eb="4">
      <t>カンサ</t>
    </rPh>
    <rPh sb="4" eb="5">
      <t>カ</t>
    </rPh>
    <phoneticPr fontId="2"/>
  </si>
  <si>
    <t>障害福祉課</t>
    <phoneticPr fontId="2"/>
  </si>
  <si>
    <t>生活支援課</t>
    <rPh sb="2" eb="4">
      <t>シエン</t>
    </rPh>
    <rPh sb="4" eb="5">
      <t>カ</t>
    </rPh>
    <phoneticPr fontId="2"/>
  </si>
  <si>
    <t>介護保険課</t>
    <rPh sb="0" eb="2">
      <t>カイゴ</t>
    </rPh>
    <rPh sb="2" eb="4">
      <t>ホケン</t>
    </rPh>
    <rPh sb="4" eb="5">
      <t>カ</t>
    </rPh>
    <phoneticPr fontId="2"/>
  </si>
  <si>
    <t>子育て支援課</t>
    <rPh sb="0" eb="2">
      <t>コソダ</t>
    </rPh>
    <rPh sb="3" eb="5">
      <t>シエン</t>
    </rPh>
    <rPh sb="5" eb="6">
      <t>カ</t>
    </rPh>
    <phoneticPr fontId="2"/>
  </si>
  <si>
    <t>(保護担当課長)</t>
    <rPh sb="1" eb="5">
      <t>ホゴタントウ</t>
    </rPh>
    <rPh sb="5" eb="7">
      <t>カチョウ</t>
    </rPh>
    <phoneticPr fontId="1"/>
  </si>
  <si>
    <t>保育園</t>
    <phoneticPr fontId="1"/>
  </si>
  <si>
    <t>(公立保育園再編整備担当課長)</t>
    <rPh sb="1" eb="6">
      <t>コウリツホイクエン</t>
    </rPh>
    <rPh sb="6" eb="8">
      <t>サイヘン</t>
    </rPh>
    <rPh sb="8" eb="10">
      <t>セイビ</t>
    </rPh>
    <rPh sb="10" eb="14">
      <t>タントウカチョウ</t>
    </rPh>
    <phoneticPr fontId="1"/>
  </si>
  <si>
    <t>(放課後児童対策担当課長)</t>
    <phoneticPr fontId="1"/>
  </si>
  <si>
    <t>Welfare General Affairs Division</t>
    <phoneticPr fontId="2"/>
  </si>
  <si>
    <t>System Standardization and Transition Director</t>
    <phoneticPr fontId="1"/>
  </si>
  <si>
    <t>Community-Based Welfare Division</t>
    <phoneticPr fontId="2"/>
  </si>
  <si>
    <t>Guidance and Inspection Division</t>
    <phoneticPr fontId="2"/>
  </si>
  <si>
    <t>Disability Welfare Division</t>
    <phoneticPr fontId="2"/>
  </si>
  <si>
    <t>Braille Library</t>
    <phoneticPr fontId="2"/>
  </si>
  <si>
    <t>Livelihood Support Division</t>
    <phoneticPr fontId="2"/>
  </si>
  <si>
    <t>Protective Custody Director</t>
    <phoneticPr fontId="1"/>
  </si>
  <si>
    <t>Nursing Insurance Division</t>
    <phoneticPr fontId="1"/>
  </si>
  <si>
    <t>Childcare Support Division</t>
    <phoneticPr fontId="2"/>
  </si>
  <si>
    <t>Nursery School</t>
    <phoneticPr fontId="1"/>
  </si>
  <si>
    <t>Public Nursery School Reorganization Director</t>
    <phoneticPr fontId="1"/>
  </si>
  <si>
    <t xml:space="preserve">After-school Daycare Policy Director </t>
    <phoneticPr fontId="1"/>
  </si>
  <si>
    <t>地域支援部</t>
    <rPh sb="0" eb="2">
      <t>チイキ</t>
    </rPh>
    <rPh sb="2" eb="4">
      <t>シエン</t>
    </rPh>
    <rPh sb="4" eb="5">
      <t>ブ</t>
    </rPh>
    <phoneticPr fontId="2"/>
  </si>
  <si>
    <t>Regional Support Department</t>
    <phoneticPr fontId="2"/>
  </si>
  <si>
    <t>市民相談室</t>
    <phoneticPr fontId="1"/>
  </si>
  <si>
    <t>Consumer Affairs Center</t>
  </si>
  <si>
    <t>Chuo Public Service Center</t>
  </si>
  <si>
    <t>Kurihama Public Service Center</t>
  </si>
  <si>
    <t>(行政センター・窓口改革推進担当課長）</t>
    <rPh sb="1" eb="3">
      <t>ギョウセイ</t>
    </rPh>
    <rPh sb="8" eb="10">
      <t>マドグチ</t>
    </rPh>
    <rPh sb="10" eb="12">
      <t>カイカク</t>
    </rPh>
    <rPh sb="12" eb="14">
      <t>スイシン</t>
    </rPh>
    <rPh sb="14" eb="16">
      <t>タントウ</t>
    </rPh>
    <rPh sb="16" eb="18">
      <t>カチョウ</t>
    </rPh>
    <phoneticPr fontId="1"/>
  </si>
  <si>
    <t>窓口サービス課</t>
    <phoneticPr fontId="1"/>
  </si>
  <si>
    <t>Chuo Funeral Hall</t>
  </si>
  <si>
    <t>こども家庭支援センター（児童相談所）</t>
    <rPh sb="3" eb="5">
      <t>カテイ</t>
    </rPh>
    <rPh sb="5" eb="7">
      <t>シエン</t>
    </rPh>
    <phoneticPr fontId="2"/>
  </si>
  <si>
    <t>資源循環部</t>
    <rPh sb="0" eb="5">
      <t>シゲンジュンカンブ</t>
    </rPh>
    <phoneticPr fontId="2"/>
  </si>
  <si>
    <t>大気・水質対策課</t>
    <rPh sb="0" eb="2">
      <t>タイキ</t>
    </rPh>
    <rPh sb="3" eb="5">
      <t>スイシツ</t>
    </rPh>
    <rPh sb="5" eb="8">
      <t>タイサクカ</t>
    </rPh>
    <phoneticPr fontId="2"/>
  </si>
  <si>
    <t>Air and Water Quality Management Division</t>
    <phoneticPr fontId="2"/>
  </si>
  <si>
    <t>資源循環企画課</t>
    <rPh sb="0" eb="7">
      <t>シゲンジュンカンキカクカ</t>
    </rPh>
    <phoneticPr fontId="2"/>
  </si>
  <si>
    <t>施設管理課</t>
    <rPh sb="0" eb="5">
      <t>シセツカンリカ</t>
    </rPh>
    <phoneticPr fontId="2"/>
  </si>
  <si>
    <t>Kurihama Waste Collection Office</t>
    <phoneticPr fontId="2"/>
  </si>
  <si>
    <t>Wide-Area Disposal Center</t>
    <phoneticPr fontId="2"/>
  </si>
  <si>
    <t>Waste Management Division</t>
    <phoneticPr fontId="2"/>
  </si>
  <si>
    <t>廃棄物対策課</t>
    <phoneticPr fontId="2"/>
  </si>
  <si>
    <t>広域処理センター</t>
    <rPh sb="0" eb="2">
      <t>コウイキ</t>
    </rPh>
    <rPh sb="2" eb="4">
      <t>ショリ</t>
    </rPh>
    <phoneticPr fontId="2"/>
  </si>
  <si>
    <t>久里浜収集事務所</t>
    <rPh sb="0" eb="3">
      <t>クリハマ</t>
    </rPh>
    <rPh sb="3" eb="5">
      <t>シュウシュウ</t>
    </rPh>
    <rPh sb="5" eb="7">
      <t>ジム</t>
    </rPh>
    <rPh sb="7" eb="8">
      <t>ショ</t>
    </rPh>
    <phoneticPr fontId="2"/>
  </si>
  <si>
    <t>(YRP研究開発推進担当課長)</t>
    <phoneticPr fontId="1"/>
  </si>
  <si>
    <t>(ふるさと納税企画担当課長)</t>
    <phoneticPr fontId="1"/>
  </si>
  <si>
    <t>YRP Research and Development Promotion Director</t>
  </si>
  <si>
    <t>Hometown Tax Planning Director</t>
  </si>
  <si>
    <t>(建築安全担当課長)</t>
    <rPh sb="1" eb="5">
      <t>ケンチクアンゼン</t>
    </rPh>
    <rPh sb="5" eb="9">
      <t>タントウカチョウ</t>
    </rPh>
    <phoneticPr fontId="1"/>
  </si>
  <si>
    <t>Building Safety Director</t>
    <phoneticPr fontId="1"/>
  </si>
  <si>
    <t>(建設総務課)</t>
    <phoneticPr fontId="1"/>
  </si>
  <si>
    <t>Engineering and Inspection Director</t>
  </si>
  <si>
    <t>Planning Director</t>
  </si>
  <si>
    <t>Road Repair Director</t>
  </si>
  <si>
    <t>(システム標準化移行担当課長)</t>
    <rPh sb="5" eb="8">
      <t>ヒョウジュンカ</t>
    </rPh>
    <rPh sb="8" eb="10">
      <t>イコウ</t>
    </rPh>
    <rPh sb="10" eb="14">
      <t>タントウカチョウ</t>
    </rPh>
    <phoneticPr fontId="1"/>
  </si>
  <si>
    <t>(技術・検査担当課長)</t>
    <rPh sb="1" eb="3">
      <t>ギジュツ</t>
    </rPh>
    <rPh sb="4" eb="10">
      <t>ケンサタントウカチョウ</t>
    </rPh>
    <phoneticPr fontId="1"/>
  </si>
  <si>
    <t>(企画担当課長)</t>
    <rPh sb="1" eb="3">
      <t>キカク</t>
    </rPh>
    <rPh sb="3" eb="5">
      <t>タントウ</t>
    </rPh>
    <rPh sb="5" eb="7">
      <t>カチョウ</t>
    </rPh>
    <phoneticPr fontId="1"/>
  </si>
  <si>
    <t>(補修担当課長)</t>
    <phoneticPr fontId="1"/>
  </si>
  <si>
    <t>(公園活用推進担当課長)</t>
    <phoneticPr fontId="1"/>
  </si>
  <si>
    <t>(港営担当課長)</t>
    <phoneticPr fontId="1"/>
  </si>
  <si>
    <t>(ふ頭整備担当課長)</t>
    <phoneticPr fontId="1"/>
  </si>
  <si>
    <t>(管路維持担当課長)</t>
    <phoneticPr fontId="1"/>
  </si>
  <si>
    <t>(施設更新担当課長)</t>
    <rPh sb="1" eb="3">
      <t>シセツ</t>
    </rPh>
    <rPh sb="3" eb="5">
      <t>コウシン</t>
    </rPh>
    <rPh sb="5" eb="7">
      <t>タントウ</t>
    </rPh>
    <rPh sb="7" eb="9">
      <t>カチョウ</t>
    </rPh>
    <phoneticPr fontId="1"/>
  </si>
  <si>
    <t>(教育情報担当課長)</t>
    <phoneticPr fontId="1"/>
  </si>
  <si>
    <t>(教育改革推進担当課長)</t>
    <rPh sb="1" eb="11">
      <t>キョウイクカイカクスイシンタントウカチョウ</t>
    </rPh>
    <phoneticPr fontId="1"/>
  </si>
  <si>
    <t>Economic Planning Division</t>
    <phoneticPr fontId="1"/>
  </si>
  <si>
    <t>(労政担当課長)</t>
    <rPh sb="1" eb="3">
      <t>ロウセイ</t>
    </rPh>
    <rPh sb="3" eb="7">
      <t>タントウカチョウ</t>
    </rPh>
    <phoneticPr fontId="1"/>
  </si>
  <si>
    <t>事業用他課</t>
    <rPh sb="0" eb="3">
      <t>ジギョウヨウ</t>
    </rPh>
    <rPh sb="3" eb="4">
      <t>タ</t>
    </rPh>
    <rPh sb="4" eb="5">
      <t>カ</t>
    </rPh>
    <phoneticPr fontId="1"/>
  </si>
  <si>
    <t>公園緑地課</t>
  </si>
  <si>
    <t>Parks and Green Spaces Division</t>
    <phoneticPr fontId="1"/>
  </si>
  <si>
    <t>(公園整備担当課長)</t>
    <rPh sb="1" eb="9">
      <t>コウエンセイビタントウカチョウ</t>
    </rPh>
    <phoneticPr fontId="1"/>
  </si>
  <si>
    <t>Parks Utilization Promotion Director</t>
    <phoneticPr fontId="1"/>
  </si>
  <si>
    <t>Port Management Director</t>
  </si>
  <si>
    <t>Pier Construction and Maintenance Director</t>
  </si>
  <si>
    <t>Pipeline Maintenance Director</t>
  </si>
  <si>
    <t>Sakamoto Branch</t>
  </si>
  <si>
    <t>Hirasaku Branch</t>
  </si>
  <si>
    <t>Miharu Branch</t>
  </si>
  <si>
    <t>Oppama Branch</t>
  </si>
  <si>
    <t>Nagaura Branch</t>
  </si>
  <si>
    <t>Nishi Fire Substation</t>
  </si>
  <si>
    <t>Kurihama Branch</t>
  </si>
  <si>
    <t>Nobi Branch</t>
  </si>
  <si>
    <t>Shonankokusaimura Branch</t>
  </si>
  <si>
    <t>Misaki Branch</t>
  </si>
  <si>
    <t>Kita Library</t>
  </si>
  <si>
    <t>Children's Library</t>
  </si>
  <si>
    <t>ICT Education Director</t>
  </si>
  <si>
    <t>Education General Affairs Department</t>
    <phoneticPr fontId="1"/>
  </si>
  <si>
    <t>Uraga Branch</t>
    <phoneticPr fontId="1"/>
  </si>
  <si>
    <t>Minami Library</t>
    <phoneticPr fontId="1"/>
  </si>
  <si>
    <t>Lifelong Learning Division</t>
    <phoneticPr fontId="1"/>
  </si>
  <si>
    <t>健康総務課</t>
    <phoneticPr fontId="1"/>
  </si>
  <si>
    <t>(第１通信指令担当課長)</t>
    <rPh sb="1" eb="2">
      <t>ダイ</t>
    </rPh>
    <rPh sb="3" eb="5">
      <t>ツウシン</t>
    </rPh>
    <rPh sb="5" eb="7">
      <t>シレイ</t>
    </rPh>
    <rPh sb="7" eb="9">
      <t>タントウ</t>
    </rPh>
    <rPh sb="9" eb="11">
      <t>カチョウ</t>
    </rPh>
    <phoneticPr fontId="1"/>
  </si>
  <si>
    <t>(第２通信指令担当課長)</t>
    <rPh sb="1" eb="2">
      <t>ダイ</t>
    </rPh>
    <rPh sb="3" eb="5">
      <t>ツウシン</t>
    </rPh>
    <rPh sb="5" eb="7">
      <t>シレイ</t>
    </rPh>
    <rPh sb="7" eb="9">
      <t>タントウ</t>
    </rPh>
    <rPh sb="9" eb="11">
      <t>カチョウ</t>
    </rPh>
    <phoneticPr fontId="1"/>
  </si>
  <si>
    <t>(第３通信指令担当課長)</t>
    <rPh sb="1" eb="2">
      <t>ダイ</t>
    </rPh>
    <rPh sb="3" eb="5">
      <t>ツウシン</t>
    </rPh>
    <rPh sb="5" eb="7">
      <t>シレイ</t>
    </rPh>
    <rPh sb="7" eb="9">
      <t>タントウ</t>
    </rPh>
    <rPh sb="9" eb="11">
      <t>カチョウ</t>
    </rPh>
    <phoneticPr fontId="1"/>
  </si>
  <si>
    <t>教育環境整備課</t>
    <rPh sb="0" eb="4">
      <t>キョウイクカンキョウ</t>
    </rPh>
    <rPh sb="4" eb="7">
      <t>セイビカ</t>
    </rPh>
    <phoneticPr fontId="1"/>
  </si>
  <si>
    <t>Education Facilities Management Division</t>
    <phoneticPr fontId="1"/>
  </si>
  <si>
    <t>Commercial Land Division</t>
    <phoneticPr fontId="1"/>
  </si>
  <si>
    <t>Special Advisor to the Mayor, Structural Reform Director-General</t>
    <phoneticPr fontId="1"/>
  </si>
  <si>
    <t>(拠点整備推進担当課長）</t>
    <rPh sb="1" eb="3">
      <t>キョテン</t>
    </rPh>
    <rPh sb="3" eb="5">
      <t>セイビ</t>
    </rPh>
    <rPh sb="5" eb="7">
      <t>スイシン</t>
    </rPh>
    <rPh sb="7" eb="9">
      <t>タントウ</t>
    </rPh>
    <rPh sb="9" eb="11">
      <t>カチョウ</t>
    </rPh>
    <phoneticPr fontId="1"/>
  </si>
  <si>
    <t>Digital Government Promotion Division</t>
    <phoneticPr fontId="1"/>
  </si>
  <si>
    <t>健康危機・感染症対策課</t>
    <rPh sb="0" eb="2">
      <t>ケンコウ</t>
    </rPh>
    <rPh sb="2" eb="4">
      <t>キキ</t>
    </rPh>
    <rPh sb="5" eb="8">
      <t>カンセンショウ</t>
    </rPh>
    <rPh sb="8" eb="10">
      <t>タイサク</t>
    </rPh>
    <rPh sb="10" eb="11">
      <t>カ</t>
    </rPh>
    <phoneticPr fontId="1"/>
  </si>
  <si>
    <t>Resource Recycling Department</t>
    <phoneticPr fontId="2"/>
  </si>
  <si>
    <t>Resource Recycling Planning Division</t>
    <phoneticPr fontId="1"/>
  </si>
  <si>
    <t>Labor Administration Director</t>
    <phoneticPr fontId="1"/>
  </si>
  <si>
    <t>Park Construction and Maintenance Director</t>
    <phoneticPr fontId="1"/>
  </si>
  <si>
    <t>Telecommunications Command and Control Director #3</t>
    <phoneticPr fontId="1"/>
  </si>
  <si>
    <t>Telecommunications Command and Control Director #1</t>
    <phoneticPr fontId="1"/>
  </si>
  <si>
    <t xml:space="preserve">      Education Reform Director</t>
    <phoneticPr fontId="1"/>
  </si>
  <si>
    <t>Facility Renewal Director</t>
    <phoneticPr fontId="1"/>
  </si>
  <si>
    <t>Special Advisor to the Mayor</t>
    <phoneticPr fontId="1"/>
  </si>
  <si>
    <t>Uwamachi Hospital Site Utilization Director</t>
    <phoneticPr fontId="1"/>
  </si>
  <si>
    <t>Telecommunications Command and Control Director #2</t>
    <phoneticPr fontId="1"/>
  </si>
  <si>
    <t>Natural Environment Division</t>
    <phoneticPr fontId="1"/>
  </si>
  <si>
    <t>Administration Center and Counter Service 
Reform Director</t>
    <phoneticPr fontId="1"/>
  </si>
  <si>
    <t>Planning and Policy Division</t>
    <phoneticPr fontId="1"/>
  </si>
  <si>
    <t>Health Crisis and Infectious Disease Management 
Division</t>
    <phoneticPr fontId="1"/>
  </si>
  <si>
    <t>Environmental Facility Management Division</t>
    <phoneticPr fontId="2"/>
  </si>
  <si>
    <r>
      <t xml:space="preserve">City Development Policy </t>
    </r>
    <r>
      <rPr>
        <sz val="11"/>
        <rFont val="Arial"/>
        <family val="3"/>
        <charset val="128"/>
      </rPr>
      <t>Director</t>
    </r>
    <phoneticPr fontId="1"/>
  </si>
  <si>
    <t>Environmental Policy Director-General</t>
    <phoneticPr fontId="1"/>
  </si>
  <si>
    <r>
      <t xml:space="preserve">Environmental Policy and Zero Carbon </t>
    </r>
    <r>
      <rPr>
        <sz val="11"/>
        <rFont val="Arial"/>
        <family val="3"/>
      </rPr>
      <t>Division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</si>
</sst>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sz val="11"/>
      <name val="Arial"/>
      <family val="2"/>
      <charset val="128"/>
    </font>
    <font>
      <sz val="11"/>
      <name val="游ゴシック"/>
      <family val="2"/>
      <charset val="128"/>
      <scheme val="minor"/>
    </font>
    <font>
      <sz val="11"/>
      <name val="Arial"/>
      <family val="3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3">
    <xf numFmtId="0" fontId="0" fillId="0" borderId="0" xfId="0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9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3" fillId="2" borderId="20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5" fillId="2" borderId="32" xfId="0" applyFont="1" applyFill="1" applyBorder="1" applyAlignment="1">
      <alignment vertical="center"/>
    </xf>
    <xf numFmtId="0" fontId="7" fillId="0" borderId="0" xfId="0" applyFont="1">
      <alignment vertical="center"/>
    </xf>
    <xf numFmtId="0" fontId="0" fillId="0" borderId="0" xfId="0" applyFill="1">
      <alignment vertical="center"/>
    </xf>
    <xf numFmtId="0" fontId="3" fillId="3" borderId="20" xfId="0" applyFont="1" applyFill="1" applyBorder="1" applyAlignment="1">
      <alignment horizontal="left" vertical="center"/>
    </xf>
    <xf numFmtId="0" fontId="3" fillId="3" borderId="31" xfId="0" applyFont="1" applyFill="1" applyBorder="1" applyAlignment="1">
      <alignment vertical="center"/>
    </xf>
    <xf numFmtId="0" fontId="5" fillId="3" borderId="32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1" fillId="0" borderId="1" xfId="0" applyFont="1" applyFill="1" applyBorder="1" applyAlignment="1"/>
    <xf numFmtId="0" fontId="9" fillId="0" borderId="0" xfId="0" applyFont="1" applyFill="1">
      <alignment vertical="center"/>
    </xf>
    <xf numFmtId="0" fontId="4" fillId="4" borderId="27" xfId="0" applyFont="1" applyFill="1" applyBorder="1" applyAlignment="1">
      <alignment vertical="center"/>
    </xf>
    <xf numFmtId="0" fontId="5" fillId="3" borderId="37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left" vertical="center" indent="2"/>
    </xf>
    <xf numFmtId="0" fontId="4" fillId="0" borderId="11" xfId="0" applyFont="1" applyFill="1" applyBorder="1" applyAlignment="1">
      <alignment horizontal="left" vertical="center" indent="1"/>
    </xf>
    <xf numFmtId="0" fontId="8" fillId="0" borderId="12" xfId="0" applyFont="1" applyFill="1" applyBorder="1" applyAlignment="1">
      <alignment horizontal="left" vertical="center" indent="2"/>
    </xf>
    <xf numFmtId="0" fontId="6" fillId="0" borderId="19" xfId="0" applyFont="1" applyFill="1" applyBorder="1" applyAlignment="1">
      <alignment horizontal="left" vertical="center" indent="2"/>
    </xf>
    <xf numFmtId="0" fontId="6" fillId="0" borderId="15" xfId="0" applyFont="1" applyFill="1" applyBorder="1" applyAlignment="1">
      <alignment horizontal="left" vertical="center" indent="2"/>
    </xf>
    <xf numFmtId="0" fontId="4" fillId="0" borderId="17" xfId="0" applyFont="1" applyFill="1" applyBorder="1" applyAlignment="1">
      <alignment horizontal="left" vertical="center" indent="2"/>
    </xf>
    <xf numFmtId="0" fontId="4" fillId="0" borderId="11" xfId="0" applyFont="1" applyFill="1" applyBorder="1" applyAlignment="1">
      <alignment horizontal="left" vertical="center" indent="2"/>
    </xf>
    <xf numFmtId="0" fontId="4" fillId="0" borderId="14" xfId="0" applyFont="1" applyFill="1" applyBorder="1" applyAlignment="1">
      <alignment horizontal="left" vertical="center" indent="1"/>
    </xf>
    <xf numFmtId="0" fontId="4" fillId="0" borderId="29" xfId="0" applyFont="1" applyFill="1" applyBorder="1" applyAlignment="1">
      <alignment horizontal="left" vertical="center" indent="1"/>
    </xf>
    <xf numFmtId="0" fontId="4" fillId="0" borderId="27" xfId="0" applyFont="1" applyFill="1" applyBorder="1" applyAlignment="1">
      <alignment horizontal="left" vertical="center" indent="1"/>
    </xf>
    <xf numFmtId="0" fontId="4" fillId="0" borderId="16" xfId="0" applyFont="1" applyFill="1" applyBorder="1" applyAlignment="1">
      <alignment horizontal="left" vertical="center" indent="1"/>
    </xf>
    <xf numFmtId="0" fontId="3" fillId="3" borderId="21" xfId="0" applyFont="1" applyFill="1" applyBorder="1" applyAlignment="1">
      <alignment horizontal="left" vertical="center" indent="1"/>
    </xf>
    <xf numFmtId="0" fontId="5" fillId="3" borderId="22" xfId="0" applyFont="1" applyFill="1" applyBorder="1" applyAlignment="1">
      <alignment horizontal="left" vertical="center" indent="1"/>
    </xf>
    <xf numFmtId="0" fontId="4" fillId="0" borderId="23" xfId="0" applyFont="1" applyFill="1" applyBorder="1" applyAlignment="1">
      <alignment horizontal="left" vertical="center" indent="2"/>
    </xf>
    <xf numFmtId="0" fontId="4" fillId="0" borderId="13" xfId="0" applyFont="1" applyFill="1" applyBorder="1" applyAlignment="1">
      <alignment horizontal="left" vertical="center" indent="2"/>
    </xf>
    <xf numFmtId="0" fontId="4" fillId="0" borderId="8" xfId="0" applyFont="1" applyFill="1" applyBorder="1" applyAlignment="1">
      <alignment horizontal="left" vertical="center" indent="2"/>
    </xf>
    <xf numFmtId="0" fontId="6" fillId="0" borderId="30" xfId="0" applyFont="1" applyFill="1" applyBorder="1" applyAlignment="1">
      <alignment horizontal="left" vertical="center" indent="2"/>
    </xf>
    <xf numFmtId="0" fontId="6" fillId="0" borderId="10" xfId="0" applyFont="1" applyFill="1" applyBorder="1" applyAlignment="1">
      <alignment horizontal="left" vertical="center" indent="2"/>
    </xf>
    <xf numFmtId="176" fontId="4" fillId="0" borderId="25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 indent="2"/>
    </xf>
    <xf numFmtId="0" fontId="4" fillId="0" borderId="40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left" vertical="center" indent="2"/>
    </xf>
    <xf numFmtId="0" fontId="8" fillId="0" borderId="10" xfId="0" applyFont="1" applyFill="1" applyBorder="1" applyAlignment="1">
      <alignment horizontal="left" vertical="center" indent="2"/>
    </xf>
    <xf numFmtId="0" fontId="4" fillId="0" borderId="16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 indent="3"/>
    </xf>
    <xf numFmtId="0" fontId="6" fillId="0" borderId="28" xfId="0" applyFont="1" applyFill="1" applyBorder="1" applyAlignment="1">
      <alignment horizontal="left" vertical="center" indent="2"/>
    </xf>
    <xf numFmtId="0" fontId="6" fillId="0" borderId="34" xfId="0" applyFont="1" applyFill="1" applyBorder="1" applyAlignment="1">
      <alignment horizontal="left" vertical="center" indent="4"/>
    </xf>
    <xf numFmtId="0" fontId="4" fillId="0" borderId="0" xfId="0" applyFont="1" applyFill="1" applyBorder="1" applyAlignment="1">
      <alignment horizontal="left" vertical="center"/>
    </xf>
    <xf numFmtId="0" fontId="8" fillId="0" borderId="12" xfId="0" applyFont="1" applyFill="1" applyBorder="1" applyAlignment="1">
      <alignment horizontal="left" vertical="center" indent="4"/>
    </xf>
    <xf numFmtId="0" fontId="4" fillId="0" borderId="5" xfId="0" applyFont="1" applyFill="1" applyBorder="1" applyAlignment="1">
      <alignment horizontal="left" vertical="center" indent="2"/>
    </xf>
    <xf numFmtId="0" fontId="10" fillId="0" borderId="12" xfId="0" applyFont="1" applyFill="1" applyBorder="1" applyAlignment="1">
      <alignment horizontal="left" vertical="center" indent="2"/>
    </xf>
    <xf numFmtId="0" fontId="3" fillId="3" borderId="1" xfId="0" applyFont="1" applyFill="1" applyBorder="1" applyAlignment="1">
      <alignment vertical="center"/>
    </xf>
    <xf numFmtId="0" fontId="4" fillId="0" borderId="17" xfId="0" applyFont="1" applyFill="1" applyBorder="1" applyAlignment="1">
      <alignment horizontal="left" vertical="center" indent="1"/>
    </xf>
    <xf numFmtId="0" fontId="6" fillId="0" borderId="7" xfId="0" applyFont="1" applyFill="1" applyBorder="1" applyAlignment="1">
      <alignment horizontal="left" vertical="center" indent="2"/>
    </xf>
    <xf numFmtId="0" fontId="6" fillId="0" borderId="33" xfId="0" applyFont="1" applyFill="1" applyBorder="1" applyAlignment="1">
      <alignment horizontal="left" vertical="center" indent="2"/>
    </xf>
    <xf numFmtId="0" fontId="6" fillId="0" borderId="35" xfId="0" applyFont="1" applyFill="1" applyBorder="1" applyAlignment="1">
      <alignment horizontal="left" vertical="center" indent="2"/>
    </xf>
    <xf numFmtId="0" fontId="6" fillId="0" borderId="37" xfId="0" applyFont="1" applyFill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 indent="1"/>
    </xf>
    <xf numFmtId="0" fontId="3" fillId="0" borderId="13" xfId="0" applyFont="1" applyFill="1" applyBorder="1" applyAlignment="1">
      <alignment horizontal="left" vertical="center" indent="2"/>
    </xf>
    <xf numFmtId="0" fontId="4" fillId="0" borderId="25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 indent="2"/>
    </xf>
    <xf numFmtId="0" fontId="4" fillId="0" borderId="16" xfId="0" applyFont="1" applyFill="1" applyBorder="1" applyAlignment="1">
      <alignment horizontal="left" vertical="center" indent="2"/>
    </xf>
    <xf numFmtId="0" fontId="4" fillId="0" borderId="14" xfId="0" applyFont="1" applyFill="1" applyBorder="1" applyAlignment="1">
      <alignment horizontal="left" vertical="center" indent="2"/>
    </xf>
    <xf numFmtId="0" fontId="5" fillId="0" borderId="15" xfId="0" applyFont="1" applyFill="1" applyBorder="1" applyAlignment="1">
      <alignment horizontal="left" vertical="center" indent="2"/>
    </xf>
    <xf numFmtId="0" fontId="3" fillId="2" borderId="20" xfId="0" applyFont="1" applyFill="1" applyBorder="1" applyAlignment="1">
      <alignment horizontal="left" vertical="center" indent="2"/>
    </xf>
    <xf numFmtId="0" fontId="5" fillId="2" borderId="22" xfId="0" applyFont="1" applyFill="1" applyBorder="1" applyAlignment="1">
      <alignment horizontal="left" vertical="center" indent="2"/>
    </xf>
    <xf numFmtId="0" fontId="4" fillId="0" borderId="27" xfId="0" applyFont="1" applyFill="1" applyBorder="1" applyAlignment="1">
      <alignment horizontal="left" vertical="center" indent="2"/>
    </xf>
    <xf numFmtId="0" fontId="3" fillId="0" borderId="11" xfId="0" applyFont="1" applyFill="1" applyBorder="1" applyAlignment="1">
      <alignment horizontal="left" vertical="center" indent="2"/>
    </xf>
    <xf numFmtId="0" fontId="5" fillId="0" borderId="12" xfId="0" applyFont="1" applyFill="1" applyBorder="1" applyAlignment="1">
      <alignment horizontal="left" vertical="center" indent="2"/>
    </xf>
    <xf numFmtId="0" fontId="3" fillId="3" borderId="20" xfId="0" applyFont="1" applyFill="1" applyBorder="1" applyAlignment="1">
      <alignment horizontal="left" vertical="center" indent="2"/>
    </xf>
    <xf numFmtId="0" fontId="5" fillId="3" borderId="22" xfId="0" applyFont="1" applyFill="1" applyBorder="1" applyAlignment="1">
      <alignment horizontal="left" vertical="center" indent="2"/>
    </xf>
    <xf numFmtId="0" fontId="4" fillId="0" borderId="25" xfId="0" applyFont="1" applyFill="1" applyBorder="1" applyAlignment="1">
      <alignment horizontal="left" vertical="center" indent="2"/>
    </xf>
    <xf numFmtId="0" fontId="4" fillId="0" borderId="29" xfId="0" applyFont="1" applyFill="1" applyBorder="1" applyAlignment="1">
      <alignment horizontal="left" vertical="center" indent="2"/>
    </xf>
    <xf numFmtId="0" fontId="8" fillId="0" borderId="15" xfId="0" applyFont="1" applyFill="1" applyBorder="1" applyAlignment="1">
      <alignment horizontal="left" vertical="center" indent="2"/>
    </xf>
    <xf numFmtId="0" fontId="3" fillId="2" borderId="17" xfId="0" applyFont="1" applyFill="1" applyBorder="1" applyAlignment="1">
      <alignment horizontal="left" vertical="center" indent="2"/>
    </xf>
    <xf numFmtId="0" fontId="5" fillId="2" borderId="36" xfId="0" applyFont="1" applyFill="1" applyBorder="1" applyAlignment="1">
      <alignment horizontal="left" vertical="center" indent="2"/>
    </xf>
    <xf numFmtId="0" fontId="5" fillId="2" borderId="32" xfId="0" applyFont="1" applyFill="1" applyBorder="1" applyAlignment="1">
      <alignment horizontal="left" vertical="center" indent="2"/>
    </xf>
    <xf numFmtId="0" fontId="5" fillId="0" borderId="12" xfId="0" applyFont="1" applyFill="1" applyBorder="1" applyAlignment="1">
      <alignment horizontal="left" vertical="center" wrapText="1" indent="1"/>
    </xf>
    <xf numFmtId="0" fontId="6" fillId="0" borderId="12" xfId="0" applyFont="1" applyFill="1" applyBorder="1" applyAlignment="1">
      <alignment horizontal="left" vertical="center" indent="4"/>
    </xf>
    <xf numFmtId="0" fontId="6" fillId="0" borderId="19" xfId="0" applyFont="1" applyFill="1" applyBorder="1" applyAlignment="1">
      <alignment horizontal="left" vertical="center" wrapText="1" indent="4"/>
    </xf>
    <xf numFmtId="0" fontId="4" fillId="0" borderId="11" xfId="0" applyFont="1" applyFill="1" applyBorder="1" applyAlignment="1">
      <alignment horizontal="left" vertical="center" indent="4"/>
    </xf>
    <xf numFmtId="0" fontId="4" fillId="0" borderId="9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4" fillId="0" borderId="24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 indent="4"/>
    </xf>
    <xf numFmtId="0" fontId="6" fillId="0" borderId="36" xfId="0" applyFont="1" applyFill="1" applyBorder="1" applyAlignment="1">
      <alignment horizontal="left" vertical="center" indent="4"/>
    </xf>
    <xf numFmtId="0" fontId="4" fillId="0" borderId="17" xfId="0" applyFont="1" applyFill="1" applyBorder="1" applyAlignment="1">
      <alignment horizontal="left" vertical="center" indent="4"/>
    </xf>
    <xf numFmtId="0" fontId="6" fillId="0" borderId="36" xfId="0" applyFont="1" applyFill="1" applyBorder="1" applyAlignment="1">
      <alignment horizontal="left" indent="4"/>
    </xf>
    <xf numFmtId="0" fontId="4" fillId="0" borderId="23" xfId="0" applyFont="1" applyFill="1" applyBorder="1" applyAlignment="1">
      <alignment horizontal="left" vertical="center" indent="3"/>
    </xf>
    <xf numFmtId="0" fontId="4" fillId="0" borderId="13" xfId="0" applyFont="1" applyFill="1" applyBorder="1" applyAlignment="1">
      <alignment horizontal="left" vertical="center" indent="3"/>
    </xf>
    <xf numFmtId="0" fontId="4" fillId="0" borderId="2" xfId="0" applyFont="1" applyFill="1" applyBorder="1" applyAlignment="1">
      <alignment horizontal="left" vertical="center" indent="4"/>
    </xf>
    <xf numFmtId="0" fontId="4" fillId="0" borderId="23" xfId="0" applyFont="1" applyFill="1" applyBorder="1" applyAlignment="1">
      <alignment horizontal="left" vertical="center" indent="4"/>
    </xf>
    <xf numFmtId="0" fontId="4" fillId="0" borderId="13" xfId="0" applyFont="1" applyFill="1" applyBorder="1" applyAlignment="1">
      <alignment horizontal="left" vertical="center" indent="4"/>
    </xf>
    <xf numFmtId="0" fontId="4" fillId="0" borderId="8" xfId="0" applyFont="1" applyFill="1" applyBorder="1" applyAlignment="1">
      <alignment horizontal="left" vertical="center" indent="4"/>
    </xf>
    <xf numFmtId="0" fontId="6" fillId="0" borderId="41" xfId="0" applyFont="1" applyFill="1" applyBorder="1" applyAlignment="1">
      <alignment horizontal="left" vertical="center" indent="4"/>
    </xf>
    <xf numFmtId="0" fontId="6" fillId="0" borderId="15" xfId="0" applyFont="1" applyFill="1" applyBorder="1" applyAlignment="1">
      <alignment horizontal="left" vertical="center" indent="4"/>
    </xf>
    <xf numFmtId="0" fontId="6" fillId="0" borderId="30" xfId="0" applyFont="1" applyFill="1" applyBorder="1" applyAlignment="1">
      <alignment horizontal="left" vertical="center" indent="4"/>
    </xf>
    <xf numFmtId="0" fontId="6" fillId="0" borderId="10" xfId="0" applyFont="1" applyFill="1" applyBorder="1" applyAlignment="1">
      <alignment horizontal="left" vertical="center" indent="4"/>
    </xf>
    <xf numFmtId="0" fontId="6" fillId="0" borderId="34" xfId="0" applyFont="1" applyFill="1" applyBorder="1" applyAlignment="1">
      <alignment horizontal="left" vertical="center" indent="6"/>
    </xf>
    <xf numFmtId="0" fontId="6" fillId="0" borderId="19" xfId="0" applyFont="1" applyFill="1" applyBorder="1" applyAlignment="1">
      <alignment horizontal="left" vertical="center" indent="6"/>
    </xf>
    <xf numFmtId="176" fontId="6" fillId="0" borderId="34" xfId="0" applyNumberFormat="1" applyFont="1" applyFill="1" applyBorder="1" applyAlignment="1">
      <alignment horizontal="left" vertical="center" indent="6"/>
    </xf>
    <xf numFmtId="0" fontId="6" fillId="0" borderId="12" xfId="0" applyFont="1" applyFill="1" applyBorder="1" applyAlignment="1">
      <alignment horizontal="left" vertical="center" indent="6"/>
    </xf>
    <xf numFmtId="0" fontId="6" fillId="0" borderId="36" xfId="0" applyFont="1" applyFill="1" applyBorder="1" applyAlignment="1">
      <alignment horizontal="left" vertical="center" indent="6"/>
    </xf>
    <xf numFmtId="0" fontId="6" fillId="0" borderId="34" xfId="0" applyFont="1" applyFill="1" applyBorder="1" applyAlignment="1">
      <alignment horizontal="left" vertical="center" indent="7"/>
    </xf>
    <xf numFmtId="0" fontId="6" fillId="0" borderId="4" xfId="0" applyFont="1" applyFill="1" applyBorder="1" applyAlignment="1">
      <alignment horizontal="left" vertical="center" indent="4"/>
    </xf>
    <xf numFmtId="0" fontId="8" fillId="0" borderId="10" xfId="0" applyFont="1" applyFill="1" applyBorder="1" applyAlignment="1">
      <alignment horizontal="left" vertical="center" indent="4"/>
    </xf>
    <xf numFmtId="0" fontId="8" fillId="0" borderId="34" xfId="0" applyFont="1" applyFill="1" applyBorder="1" applyAlignment="1">
      <alignment horizontal="left" vertical="center" indent="4"/>
    </xf>
    <xf numFmtId="0" fontId="6" fillId="0" borderId="28" xfId="0" applyFont="1" applyFill="1" applyBorder="1" applyAlignment="1">
      <alignment horizontal="left" vertical="center" indent="4"/>
    </xf>
    <xf numFmtId="0" fontId="8" fillId="0" borderId="34" xfId="0" applyFont="1" applyFill="1" applyBorder="1" applyAlignment="1">
      <alignment horizontal="left" vertical="center" indent="6"/>
    </xf>
    <xf numFmtId="0" fontId="8" fillId="0" borderId="10" xfId="0" applyFont="1" applyFill="1" applyBorder="1" applyAlignment="1">
      <alignment horizontal="left" vertical="center" indent="6"/>
    </xf>
    <xf numFmtId="0" fontId="4" fillId="0" borderId="11" xfId="0" applyFont="1" applyFill="1" applyBorder="1" applyAlignment="1">
      <alignment horizontal="left" vertical="center" indent="5"/>
    </xf>
    <xf numFmtId="0" fontId="4" fillId="0" borderId="8" xfId="0" applyFont="1" applyFill="1" applyBorder="1" applyAlignment="1">
      <alignment horizontal="left" vertical="center" indent="5"/>
    </xf>
    <xf numFmtId="0" fontId="4" fillId="0" borderId="5" xfId="0" applyFont="1" applyFill="1" applyBorder="1" applyAlignment="1">
      <alignment horizontal="left" vertical="center" indent="4"/>
    </xf>
    <xf numFmtId="0" fontId="8" fillId="0" borderId="33" xfId="0" applyFont="1" applyFill="1" applyBorder="1" applyAlignment="1">
      <alignment horizontal="left" vertical="center" indent="4"/>
    </xf>
    <xf numFmtId="0" fontId="8" fillId="0" borderId="28" xfId="0" applyFont="1" applyFill="1" applyBorder="1" applyAlignment="1">
      <alignment horizontal="left" vertical="center" indent="4"/>
    </xf>
    <xf numFmtId="0" fontId="10" fillId="0" borderId="12" xfId="0" applyFont="1" applyFill="1" applyBorder="1" applyAlignment="1">
      <alignment horizontal="left" vertical="center" indent="4"/>
    </xf>
    <xf numFmtId="0" fontId="4" fillId="0" borderId="6" xfId="0" applyFont="1" applyFill="1" applyBorder="1" applyAlignment="1">
      <alignment horizontal="left" vertical="center" indent="1"/>
    </xf>
    <xf numFmtId="0" fontId="4" fillId="0" borderId="25" xfId="0" applyFont="1" applyFill="1" applyBorder="1" applyAlignment="1">
      <alignment horizontal="left" vertical="center" indent="1"/>
    </xf>
    <xf numFmtId="0" fontId="8" fillId="0" borderId="19" xfId="0" applyFont="1" applyFill="1" applyBorder="1" applyAlignment="1">
      <alignment horizontal="left" vertical="center" indent="4"/>
    </xf>
    <xf numFmtId="0" fontId="3" fillId="2" borderId="18" xfId="0" applyFont="1" applyFill="1" applyBorder="1" applyAlignment="1">
      <alignment horizontal="left" vertical="center" indent="1"/>
    </xf>
    <xf numFmtId="0" fontId="3" fillId="2" borderId="31" xfId="0" applyFont="1" applyFill="1" applyBorder="1" applyAlignment="1">
      <alignment horizontal="left" vertical="center" indent="1"/>
    </xf>
    <xf numFmtId="0" fontId="6" fillId="0" borderId="7" xfId="0" applyFont="1" applyFill="1" applyBorder="1" applyAlignment="1">
      <alignment horizontal="left" vertical="center" indent="4"/>
    </xf>
    <xf numFmtId="0" fontId="6" fillId="0" borderId="33" xfId="0" applyFont="1" applyFill="1" applyBorder="1" applyAlignment="1">
      <alignment horizontal="left" vertical="center" indent="4"/>
    </xf>
    <xf numFmtId="0" fontId="6" fillId="0" borderId="35" xfId="0" applyFont="1" applyFill="1" applyBorder="1" applyAlignment="1">
      <alignment horizontal="left" vertical="center" indent="4"/>
    </xf>
    <xf numFmtId="0" fontId="6" fillId="0" borderId="30" xfId="0" applyFont="1" applyFill="1" applyBorder="1" applyAlignment="1">
      <alignment horizontal="left" vertical="center" indent="6"/>
    </xf>
    <xf numFmtId="0" fontId="6" fillId="0" borderId="37" xfId="0" applyFont="1" applyFill="1" applyBorder="1" applyAlignment="1">
      <alignment horizontal="left" vertical="center" indent="4"/>
    </xf>
    <xf numFmtId="0" fontId="4" fillId="0" borderId="18" xfId="0" applyFont="1" applyFill="1" applyBorder="1" applyAlignment="1">
      <alignment horizontal="left" vertical="center" indent="1"/>
    </xf>
    <xf numFmtId="0" fontId="11" fillId="0" borderId="0" xfId="0" applyFont="1" applyBorder="1">
      <alignment vertical="center"/>
    </xf>
    <xf numFmtId="0" fontId="3" fillId="4" borderId="13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vertical="center"/>
    </xf>
    <xf numFmtId="0" fontId="5" fillId="0" borderId="15" xfId="0" applyFont="1" applyFill="1" applyBorder="1" applyAlignment="1">
      <alignment horizontal="left" vertical="center" wrapText="1" indent="2"/>
    </xf>
    <xf numFmtId="0" fontId="8" fillId="0" borderId="15" xfId="0" applyFont="1" applyFill="1" applyBorder="1" applyAlignment="1">
      <alignment horizontal="left" vertical="center" indent="6"/>
    </xf>
    <xf numFmtId="0" fontId="3" fillId="0" borderId="13" xfId="0" applyFont="1" applyFill="1" applyBorder="1" applyAlignment="1">
      <alignment horizontal="left" vertical="center" wrapText="1" indent="2"/>
    </xf>
    <xf numFmtId="0" fontId="3" fillId="0" borderId="27" xfId="0" applyFont="1" applyFill="1" applyBorder="1" applyAlignment="1">
      <alignment horizontal="left" vertical="center" wrapText="1" indent="2"/>
    </xf>
    <xf numFmtId="0" fontId="3" fillId="0" borderId="38" xfId="0" applyFont="1" applyFill="1" applyBorder="1" applyAlignment="1">
      <alignment horizontal="left" vertical="center" wrapText="1" indent="2"/>
    </xf>
    <xf numFmtId="0" fontId="3" fillId="0" borderId="39" xfId="0" applyFont="1" applyFill="1" applyBorder="1" applyAlignment="1">
      <alignment horizontal="left" vertical="center" wrapText="1" indent="2"/>
    </xf>
    <xf numFmtId="0" fontId="11" fillId="0" borderId="11" xfId="0" applyFont="1" applyBorder="1" applyAlignment="1">
      <alignment horizontal="left" vertical="center" indent="1"/>
    </xf>
    <xf numFmtId="0" fontId="12" fillId="0" borderId="12" xfId="0" applyFont="1" applyFill="1" applyBorder="1" applyAlignment="1">
      <alignment horizontal="left" vertical="center" indent="4"/>
    </xf>
    <xf numFmtId="0" fontId="3" fillId="0" borderId="27" xfId="0" applyFont="1" applyFill="1" applyBorder="1" applyAlignment="1">
      <alignment vertical="center"/>
    </xf>
    <xf numFmtId="0" fontId="5" fillId="0" borderId="28" xfId="0" applyFont="1" applyFill="1" applyBorder="1" applyAlignment="1">
      <alignment horizontal="left" vertical="center" indent="2"/>
    </xf>
    <xf numFmtId="0" fontId="4" fillId="0" borderId="16" xfId="0" applyFont="1" applyFill="1" applyBorder="1" applyAlignment="1">
      <alignment vertical="center" shrinkToFit="1"/>
    </xf>
    <xf numFmtId="0" fontId="11" fillId="0" borderId="23" xfId="0" applyFont="1" applyFill="1" applyBorder="1" applyAlignment="1">
      <alignment horizontal="left" vertical="center" indent="2"/>
    </xf>
    <xf numFmtId="0" fontId="11" fillId="0" borderId="23" xfId="0" applyFont="1" applyBorder="1" applyAlignment="1">
      <alignment horizontal="left" vertical="center" indent="2"/>
    </xf>
    <xf numFmtId="0" fontId="11" fillId="0" borderId="9" xfId="0" applyFont="1" applyFill="1" applyBorder="1" applyAlignment="1"/>
    <xf numFmtId="0" fontId="6" fillId="0" borderId="35" xfId="0" applyFont="1" applyFill="1" applyBorder="1" applyAlignment="1">
      <alignment horizontal="left" indent="2"/>
    </xf>
    <xf numFmtId="176" fontId="4" fillId="0" borderId="23" xfId="0" applyNumberFormat="1" applyFont="1" applyFill="1" applyBorder="1" applyAlignment="1">
      <alignment horizontal="left" vertical="center" indent="4"/>
    </xf>
    <xf numFmtId="0" fontId="6" fillId="0" borderId="19" xfId="0" applyFont="1" applyFill="1" applyBorder="1" applyAlignment="1">
      <alignment horizontal="left" vertical="center" wrapText="1" indent="6"/>
    </xf>
    <xf numFmtId="0" fontId="4" fillId="0" borderId="13" xfId="0" applyFont="1" applyFill="1" applyBorder="1" applyAlignment="1">
      <alignment horizontal="left" vertical="center" indent="5"/>
    </xf>
    <xf numFmtId="0" fontId="6" fillId="0" borderId="15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2" fillId="0" borderId="33" xfId="0" applyFont="1" applyFill="1" applyBorder="1" applyAlignment="1">
      <alignment horizontal="left" vertical="center" indent="2"/>
    </xf>
    <xf numFmtId="0" fontId="4" fillId="0" borderId="9" xfId="0" applyFont="1" applyFill="1" applyBorder="1" applyAlignment="1">
      <alignment horizontal="left" vertical="center" indent="2"/>
    </xf>
    <xf numFmtId="0" fontId="12" fillId="0" borderId="15" xfId="0" applyFont="1" applyFill="1" applyBorder="1" applyAlignment="1">
      <alignment horizontal="left" vertical="center" indent="2"/>
    </xf>
    <xf numFmtId="0" fontId="4" fillId="0" borderId="18" xfId="0" applyFont="1" applyFill="1" applyBorder="1" applyAlignment="1">
      <alignment horizontal="left" vertical="center"/>
    </xf>
    <xf numFmtId="0" fontId="11" fillId="0" borderId="26" xfId="0" applyFont="1" applyFill="1" applyBorder="1" applyAlignment="1"/>
    <xf numFmtId="0" fontId="11" fillId="0" borderId="0" xfId="0" applyFont="1" applyFill="1" applyBorder="1" applyAlignment="1"/>
    <xf numFmtId="0" fontId="4" fillId="0" borderId="18" xfId="0" applyFont="1" applyFill="1" applyBorder="1" applyAlignment="1"/>
    <xf numFmtId="0" fontId="11" fillId="0" borderId="24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2</xdr:col>
      <xdr:colOff>0</xdr:colOff>
      <xdr:row>13</xdr:row>
      <xdr:rowOff>0</xdr:rowOff>
    </xdr:to>
    <xdr:sp macro="" textlink="">
      <xdr:nvSpPr>
        <xdr:cNvPr id="2" name="テキスト 14">
          <a:extLst>
            <a:ext uri="{FF2B5EF4-FFF2-40B4-BE49-F238E27FC236}">
              <a16:creationId xmlns:a16="http://schemas.microsoft.com/office/drawing/2014/main" id="{F73F1853-29DE-4D5E-ACEE-51E967E5630F}"/>
            </a:ext>
          </a:extLst>
        </xdr:cNvPr>
        <xdr:cNvSpPr txBox="1">
          <a:spLocks noChangeArrowheads="1"/>
        </xdr:cNvSpPr>
      </xdr:nvSpPr>
      <xdr:spPr bwMode="auto">
        <a:xfrm>
          <a:off x="4772025" y="20669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2</xdr:col>
      <xdr:colOff>0</xdr:colOff>
      <xdr:row>13</xdr:row>
      <xdr:rowOff>0</xdr:rowOff>
    </xdr:to>
    <xdr:sp macro="" textlink="">
      <xdr:nvSpPr>
        <xdr:cNvPr id="3" name="テキスト 15">
          <a:extLst>
            <a:ext uri="{FF2B5EF4-FFF2-40B4-BE49-F238E27FC236}">
              <a16:creationId xmlns:a16="http://schemas.microsoft.com/office/drawing/2014/main" id="{0F2FB3D8-E7D8-4045-A650-3AF970655C22}"/>
            </a:ext>
          </a:extLst>
        </xdr:cNvPr>
        <xdr:cNvSpPr txBox="1">
          <a:spLocks noChangeArrowheads="1"/>
        </xdr:cNvSpPr>
      </xdr:nvSpPr>
      <xdr:spPr bwMode="auto">
        <a:xfrm>
          <a:off x="4772025" y="20669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4" name="テキスト 14">
          <a:extLst>
            <a:ext uri="{FF2B5EF4-FFF2-40B4-BE49-F238E27FC236}">
              <a16:creationId xmlns:a16="http://schemas.microsoft.com/office/drawing/2014/main" id="{6518A02C-84E5-4CBE-96DF-C6E55504A587}"/>
            </a:ext>
          </a:extLst>
        </xdr:cNvPr>
        <xdr:cNvSpPr txBox="1">
          <a:spLocks noChangeArrowheads="1"/>
        </xdr:cNvSpPr>
      </xdr:nvSpPr>
      <xdr:spPr bwMode="auto">
        <a:xfrm>
          <a:off x="4772025" y="425767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5" name="テキスト 15">
          <a:extLst>
            <a:ext uri="{FF2B5EF4-FFF2-40B4-BE49-F238E27FC236}">
              <a16:creationId xmlns:a16="http://schemas.microsoft.com/office/drawing/2014/main" id="{F9FE622A-5ECD-4BFB-8498-26CA3E657BEE}"/>
            </a:ext>
          </a:extLst>
        </xdr:cNvPr>
        <xdr:cNvSpPr txBox="1">
          <a:spLocks noChangeArrowheads="1"/>
        </xdr:cNvSpPr>
      </xdr:nvSpPr>
      <xdr:spPr bwMode="auto">
        <a:xfrm>
          <a:off x="4772025" y="425767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6" name="テキスト 14">
          <a:extLst>
            <a:ext uri="{FF2B5EF4-FFF2-40B4-BE49-F238E27FC236}">
              <a16:creationId xmlns:a16="http://schemas.microsoft.com/office/drawing/2014/main" id="{84E3D08C-5160-4982-BD05-83272867BC35}"/>
            </a:ext>
          </a:extLst>
        </xdr:cNvPr>
        <xdr:cNvSpPr txBox="1">
          <a:spLocks noChangeArrowheads="1"/>
        </xdr:cNvSpPr>
      </xdr:nvSpPr>
      <xdr:spPr bwMode="auto">
        <a:xfrm>
          <a:off x="4772025" y="55721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7" name="テキスト 15">
          <a:extLst>
            <a:ext uri="{FF2B5EF4-FFF2-40B4-BE49-F238E27FC236}">
              <a16:creationId xmlns:a16="http://schemas.microsoft.com/office/drawing/2014/main" id="{E12DB735-1742-42E2-BC7E-72648E7CDF7D}"/>
            </a:ext>
          </a:extLst>
        </xdr:cNvPr>
        <xdr:cNvSpPr txBox="1">
          <a:spLocks noChangeArrowheads="1"/>
        </xdr:cNvSpPr>
      </xdr:nvSpPr>
      <xdr:spPr bwMode="auto">
        <a:xfrm>
          <a:off x="4772025" y="55721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2</xdr:col>
      <xdr:colOff>0</xdr:colOff>
      <xdr:row>39</xdr:row>
      <xdr:rowOff>0</xdr:rowOff>
    </xdr:to>
    <xdr:sp macro="" textlink="">
      <xdr:nvSpPr>
        <xdr:cNvPr id="8" name="テキスト 14">
          <a:extLst>
            <a:ext uri="{FF2B5EF4-FFF2-40B4-BE49-F238E27FC236}">
              <a16:creationId xmlns:a16="http://schemas.microsoft.com/office/drawing/2014/main" id="{4E40504A-C24D-475F-B774-757299E1F5E6}"/>
            </a:ext>
          </a:extLst>
        </xdr:cNvPr>
        <xdr:cNvSpPr txBox="1">
          <a:spLocks noChangeArrowheads="1"/>
        </xdr:cNvSpPr>
      </xdr:nvSpPr>
      <xdr:spPr bwMode="auto">
        <a:xfrm>
          <a:off x="4772025" y="66675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2</xdr:col>
      <xdr:colOff>0</xdr:colOff>
      <xdr:row>39</xdr:row>
      <xdr:rowOff>0</xdr:rowOff>
    </xdr:to>
    <xdr:sp macro="" textlink="">
      <xdr:nvSpPr>
        <xdr:cNvPr id="9" name="テキスト 15">
          <a:extLst>
            <a:ext uri="{FF2B5EF4-FFF2-40B4-BE49-F238E27FC236}">
              <a16:creationId xmlns:a16="http://schemas.microsoft.com/office/drawing/2014/main" id="{85FB81C5-01BA-4FE7-8370-F5B5FD5BDBED}"/>
            </a:ext>
          </a:extLst>
        </xdr:cNvPr>
        <xdr:cNvSpPr txBox="1">
          <a:spLocks noChangeArrowheads="1"/>
        </xdr:cNvSpPr>
      </xdr:nvSpPr>
      <xdr:spPr bwMode="auto">
        <a:xfrm>
          <a:off x="4772025" y="66675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10" name="テキスト 14">
          <a:extLst>
            <a:ext uri="{FF2B5EF4-FFF2-40B4-BE49-F238E27FC236}">
              <a16:creationId xmlns:a16="http://schemas.microsoft.com/office/drawing/2014/main" id="{3D837564-3CEB-4D48-8BC4-02EA6498E61E}"/>
            </a:ext>
          </a:extLst>
        </xdr:cNvPr>
        <xdr:cNvSpPr txBox="1">
          <a:spLocks noChangeArrowheads="1"/>
        </xdr:cNvSpPr>
      </xdr:nvSpPr>
      <xdr:spPr bwMode="auto">
        <a:xfrm>
          <a:off x="4772025" y="863917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11" name="テキスト 15">
          <a:extLst>
            <a:ext uri="{FF2B5EF4-FFF2-40B4-BE49-F238E27FC236}">
              <a16:creationId xmlns:a16="http://schemas.microsoft.com/office/drawing/2014/main" id="{1E9C7261-725D-40D1-A590-21B1AABCBD64}"/>
            </a:ext>
          </a:extLst>
        </xdr:cNvPr>
        <xdr:cNvSpPr txBox="1">
          <a:spLocks noChangeArrowheads="1"/>
        </xdr:cNvSpPr>
      </xdr:nvSpPr>
      <xdr:spPr bwMode="auto">
        <a:xfrm>
          <a:off x="4772025" y="863917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2</xdr:col>
      <xdr:colOff>0</xdr:colOff>
      <xdr:row>70</xdr:row>
      <xdr:rowOff>0</xdr:rowOff>
    </xdr:to>
    <xdr:sp macro="" textlink="">
      <xdr:nvSpPr>
        <xdr:cNvPr id="12" name="テキスト 14">
          <a:extLst>
            <a:ext uri="{FF2B5EF4-FFF2-40B4-BE49-F238E27FC236}">
              <a16:creationId xmlns:a16="http://schemas.microsoft.com/office/drawing/2014/main" id="{201CC7BA-BBD2-4BE8-8837-635B4E7FEB51}"/>
            </a:ext>
          </a:extLst>
        </xdr:cNvPr>
        <xdr:cNvSpPr txBox="1">
          <a:spLocks noChangeArrowheads="1"/>
        </xdr:cNvSpPr>
      </xdr:nvSpPr>
      <xdr:spPr bwMode="auto">
        <a:xfrm>
          <a:off x="4772025" y="154305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2</xdr:col>
      <xdr:colOff>0</xdr:colOff>
      <xdr:row>70</xdr:row>
      <xdr:rowOff>0</xdr:rowOff>
    </xdr:to>
    <xdr:sp macro="" textlink="">
      <xdr:nvSpPr>
        <xdr:cNvPr id="13" name="テキスト 15">
          <a:extLst>
            <a:ext uri="{FF2B5EF4-FFF2-40B4-BE49-F238E27FC236}">
              <a16:creationId xmlns:a16="http://schemas.microsoft.com/office/drawing/2014/main" id="{A3F4F4EA-6A01-4361-8269-31097729C9B8}"/>
            </a:ext>
          </a:extLst>
        </xdr:cNvPr>
        <xdr:cNvSpPr txBox="1">
          <a:spLocks noChangeArrowheads="1"/>
        </xdr:cNvSpPr>
      </xdr:nvSpPr>
      <xdr:spPr bwMode="auto">
        <a:xfrm>
          <a:off x="4772025" y="154305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2</xdr:col>
      <xdr:colOff>0</xdr:colOff>
      <xdr:row>56</xdr:row>
      <xdr:rowOff>0</xdr:rowOff>
    </xdr:to>
    <xdr:sp macro="" textlink="">
      <xdr:nvSpPr>
        <xdr:cNvPr id="14" name="テキスト 14">
          <a:extLst>
            <a:ext uri="{FF2B5EF4-FFF2-40B4-BE49-F238E27FC236}">
              <a16:creationId xmlns:a16="http://schemas.microsoft.com/office/drawing/2014/main" id="{0E46D7EE-5AC7-453E-BD05-9DC7E9D5C11F}"/>
            </a:ext>
          </a:extLst>
        </xdr:cNvPr>
        <xdr:cNvSpPr txBox="1">
          <a:spLocks noChangeArrowheads="1"/>
        </xdr:cNvSpPr>
      </xdr:nvSpPr>
      <xdr:spPr bwMode="auto">
        <a:xfrm>
          <a:off x="4772025" y="125825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2</xdr:col>
      <xdr:colOff>0</xdr:colOff>
      <xdr:row>56</xdr:row>
      <xdr:rowOff>0</xdr:rowOff>
    </xdr:to>
    <xdr:sp macro="" textlink="">
      <xdr:nvSpPr>
        <xdr:cNvPr id="15" name="テキスト 15">
          <a:extLst>
            <a:ext uri="{FF2B5EF4-FFF2-40B4-BE49-F238E27FC236}">
              <a16:creationId xmlns:a16="http://schemas.microsoft.com/office/drawing/2014/main" id="{B8CF7A42-6F1A-472B-A210-6A7BD8660786}"/>
            </a:ext>
          </a:extLst>
        </xdr:cNvPr>
        <xdr:cNvSpPr txBox="1">
          <a:spLocks noChangeArrowheads="1"/>
        </xdr:cNvSpPr>
      </xdr:nvSpPr>
      <xdr:spPr bwMode="auto">
        <a:xfrm>
          <a:off x="4772025" y="125825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87</xdr:row>
      <xdr:rowOff>0</xdr:rowOff>
    </xdr:from>
    <xdr:to>
      <xdr:col>2</xdr:col>
      <xdr:colOff>0</xdr:colOff>
      <xdr:row>88</xdr:row>
      <xdr:rowOff>0</xdr:rowOff>
    </xdr:to>
    <xdr:sp macro="" textlink="">
      <xdr:nvSpPr>
        <xdr:cNvPr id="16" name="テキスト 14">
          <a:extLst>
            <a:ext uri="{FF2B5EF4-FFF2-40B4-BE49-F238E27FC236}">
              <a16:creationId xmlns:a16="http://schemas.microsoft.com/office/drawing/2014/main" id="{CB800D9C-6D0C-4B5B-80D9-349037C19852}"/>
            </a:ext>
          </a:extLst>
        </xdr:cNvPr>
        <xdr:cNvSpPr txBox="1">
          <a:spLocks noChangeArrowheads="1"/>
        </xdr:cNvSpPr>
      </xdr:nvSpPr>
      <xdr:spPr bwMode="auto">
        <a:xfrm>
          <a:off x="4772025" y="1937385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87</xdr:row>
      <xdr:rowOff>0</xdr:rowOff>
    </xdr:from>
    <xdr:to>
      <xdr:col>2</xdr:col>
      <xdr:colOff>0</xdr:colOff>
      <xdr:row>88</xdr:row>
      <xdr:rowOff>0</xdr:rowOff>
    </xdr:to>
    <xdr:sp macro="" textlink="">
      <xdr:nvSpPr>
        <xdr:cNvPr id="17" name="テキスト 15">
          <a:extLst>
            <a:ext uri="{FF2B5EF4-FFF2-40B4-BE49-F238E27FC236}">
              <a16:creationId xmlns:a16="http://schemas.microsoft.com/office/drawing/2014/main" id="{0614C6FB-7DFE-436A-8432-6C412DC2871F}"/>
            </a:ext>
          </a:extLst>
        </xdr:cNvPr>
        <xdr:cNvSpPr txBox="1">
          <a:spLocks noChangeArrowheads="1"/>
        </xdr:cNvSpPr>
      </xdr:nvSpPr>
      <xdr:spPr bwMode="auto">
        <a:xfrm>
          <a:off x="4772025" y="1937385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sp macro="" textlink="">
      <xdr:nvSpPr>
        <xdr:cNvPr id="18" name="テキスト 14">
          <a:extLst>
            <a:ext uri="{FF2B5EF4-FFF2-40B4-BE49-F238E27FC236}">
              <a16:creationId xmlns:a16="http://schemas.microsoft.com/office/drawing/2014/main" id="{0B967970-280B-454E-8214-C9604FAACBD3}"/>
            </a:ext>
          </a:extLst>
        </xdr:cNvPr>
        <xdr:cNvSpPr txBox="1">
          <a:spLocks noChangeArrowheads="1"/>
        </xdr:cNvSpPr>
      </xdr:nvSpPr>
      <xdr:spPr bwMode="auto">
        <a:xfrm>
          <a:off x="4772025" y="241935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sp macro="" textlink="">
      <xdr:nvSpPr>
        <xdr:cNvPr id="19" name="テキスト 15">
          <a:extLst>
            <a:ext uri="{FF2B5EF4-FFF2-40B4-BE49-F238E27FC236}">
              <a16:creationId xmlns:a16="http://schemas.microsoft.com/office/drawing/2014/main" id="{EAAB75C2-1491-45AD-B45B-7B9EE6DF05CC}"/>
            </a:ext>
          </a:extLst>
        </xdr:cNvPr>
        <xdr:cNvSpPr txBox="1">
          <a:spLocks noChangeArrowheads="1"/>
        </xdr:cNvSpPr>
      </xdr:nvSpPr>
      <xdr:spPr bwMode="auto">
        <a:xfrm>
          <a:off x="4772025" y="241935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sp macro="" textlink="">
      <xdr:nvSpPr>
        <xdr:cNvPr id="20" name="テキスト 14">
          <a:extLst>
            <a:ext uri="{FF2B5EF4-FFF2-40B4-BE49-F238E27FC236}">
              <a16:creationId xmlns:a16="http://schemas.microsoft.com/office/drawing/2014/main" id="{F2281BC6-27F0-44B7-BBBF-B1AD92D176C9}"/>
            </a:ext>
          </a:extLst>
        </xdr:cNvPr>
        <xdr:cNvSpPr txBox="1">
          <a:spLocks noChangeArrowheads="1"/>
        </xdr:cNvSpPr>
      </xdr:nvSpPr>
      <xdr:spPr bwMode="auto">
        <a:xfrm>
          <a:off x="4772025" y="259461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sp macro="" textlink="">
      <xdr:nvSpPr>
        <xdr:cNvPr id="21" name="テキスト 15">
          <a:extLst>
            <a:ext uri="{FF2B5EF4-FFF2-40B4-BE49-F238E27FC236}">
              <a16:creationId xmlns:a16="http://schemas.microsoft.com/office/drawing/2014/main" id="{619BFF2C-AF59-4C9B-9791-6FF218C72F98}"/>
            </a:ext>
          </a:extLst>
        </xdr:cNvPr>
        <xdr:cNvSpPr txBox="1">
          <a:spLocks noChangeArrowheads="1"/>
        </xdr:cNvSpPr>
      </xdr:nvSpPr>
      <xdr:spPr bwMode="auto">
        <a:xfrm>
          <a:off x="4772025" y="259461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sp macro="" textlink="">
      <xdr:nvSpPr>
        <xdr:cNvPr id="22" name="テキスト 14">
          <a:extLst>
            <a:ext uri="{FF2B5EF4-FFF2-40B4-BE49-F238E27FC236}">
              <a16:creationId xmlns:a16="http://schemas.microsoft.com/office/drawing/2014/main" id="{E2D93917-991C-49B3-83F7-9D906639E464}"/>
            </a:ext>
          </a:extLst>
        </xdr:cNvPr>
        <xdr:cNvSpPr txBox="1">
          <a:spLocks noChangeArrowheads="1"/>
        </xdr:cNvSpPr>
      </xdr:nvSpPr>
      <xdr:spPr bwMode="auto">
        <a:xfrm>
          <a:off x="4772025" y="2726055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sp macro="" textlink="">
      <xdr:nvSpPr>
        <xdr:cNvPr id="23" name="テキスト 15">
          <a:extLst>
            <a:ext uri="{FF2B5EF4-FFF2-40B4-BE49-F238E27FC236}">
              <a16:creationId xmlns:a16="http://schemas.microsoft.com/office/drawing/2014/main" id="{46D1D886-F90F-486F-99B8-98D1F79D5894}"/>
            </a:ext>
          </a:extLst>
        </xdr:cNvPr>
        <xdr:cNvSpPr txBox="1">
          <a:spLocks noChangeArrowheads="1"/>
        </xdr:cNvSpPr>
      </xdr:nvSpPr>
      <xdr:spPr bwMode="auto">
        <a:xfrm>
          <a:off x="4772025" y="2726055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sp macro="" textlink="">
      <xdr:nvSpPr>
        <xdr:cNvPr id="24" name="テキスト 14">
          <a:extLst>
            <a:ext uri="{FF2B5EF4-FFF2-40B4-BE49-F238E27FC236}">
              <a16:creationId xmlns:a16="http://schemas.microsoft.com/office/drawing/2014/main" id="{C33DFC51-1245-4AB6-829F-A6C123FA2FC3}"/>
            </a:ext>
          </a:extLst>
        </xdr:cNvPr>
        <xdr:cNvSpPr txBox="1">
          <a:spLocks noChangeArrowheads="1"/>
        </xdr:cNvSpPr>
      </xdr:nvSpPr>
      <xdr:spPr bwMode="auto">
        <a:xfrm>
          <a:off x="4772025" y="2879407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sp macro="" textlink="">
      <xdr:nvSpPr>
        <xdr:cNvPr id="25" name="テキスト 15">
          <a:extLst>
            <a:ext uri="{FF2B5EF4-FFF2-40B4-BE49-F238E27FC236}">
              <a16:creationId xmlns:a16="http://schemas.microsoft.com/office/drawing/2014/main" id="{B61FA7E4-CCF8-4B56-BE80-8F868EDCB899}"/>
            </a:ext>
          </a:extLst>
        </xdr:cNvPr>
        <xdr:cNvSpPr txBox="1">
          <a:spLocks noChangeArrowheads="1"/>
        </xdr:cNvSpPr>
      </xdr:nvSpPr>
      <xdr:spPr bwMode="auto">
        <a:xfrm>
          <a:off x="4772025" y="2879407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sp macro="" textlink="">
      <xdr:nvSpPr>
        <xdr:cNvPr id="26" name="テキスト 14">
          <a:extLst>
            <a:ext uri="{FF2B5EF4-FFF2-40B4-BE49-F238E27FC236}">
              <a16:creationId xmlns:a16="http://schemas.microsoft.com/office/drawing/2014/main" id="{8DECB87B-4D24-41AF-800F-DAE1B134E355}"/>
            </a:ext>
          </a:extLst>
        </xdr:cNvPr>
        <xdr:cNvSpPr txBox="1">
          <a:spLocks noChangeArrowheads="1"/>
        </xdr:cNvSpPr>
      </xdr:nvSpPr>
      <xdr:spPr bwMode="auto">
        <a:xfrm>
          <a:off x="4772025" y="327374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sp macro="" textlink="">
      <xdr:nvSpPr>
        <xdr:cNvPr id="27" name="テキスト 15">
          <a:extLst>
            <a:ext uri="{FF2B5EF4-FFF2-40B4-BE49-F238E27FC236}">
              <a16:creationId xmlns:a16="http://schemas.microsoft.com/office/drawing/2014/main" id="{F288CB3C-CEF0-4FC6-BC8F-CDD6D88F5F5E}"/>
            </a:ext>
          </a:extLst>
        </xdr:cNvPr>
        <xdr:cNvSpPr txBox="1">
          <a:spLocks noChangeArrowheads="1"/>
        </xdr:cNvSpPr>
      </xdr:nvSpPr>
      <xdr:spPr bwMode="auto">
        <a:xfrm>
          <a:off x="4772025" y="32737425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sp macro="" textlink="">
      <xdr:nvSpPr>
        <xdr:cNvPr id="28" name="テキスト 14">
          <a:extLst>
            <a:ext uri="{FF2B5EF4-FFF2-40B4-BE49-F238E27FC236}">
              <a16:creationId xmlns:a16="http://schemas.microsoft.com/office/drawing/2014/main" id="{2583FAF5-C152-4D16-B806-1C5D976EB294}"/>
            </a:ext>
          </a:extLst>
        </xdr:cNvPr>
        <xdr:cNvSpPr txBox="1">
          <a:spLocks noChangeArrowheads="1"/>
        </xdr:cNvSpPr>
      </xdr:nvSpPr>
      <xdr:spPr bwMode="auto">
        <a:xfrm>
          <a:off x="4772025" y="233172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sp macro="" textlink="">
      <xdr:nvSpPr>
        <xdr:cNvPr id="29" name="テキスト 15">
          <a:extLst>
            <a:ext uri="{FF2B5EF4-FFF2-40B4-BE49-F238E27FC236}">
              <a16:creationId xmlns:a16="http://schemas.microsoft.com/office/drawing/2014/main" id="{C10B4344-CBD4-469A-9196-177870EA5C10}"/>
            </a:ext>
          </a:extLst>
        </xdr:cNvPr>
        <xdr:cNvSpPr txBox="1">
          <a:spLocks noChangeArrowheads="1"/>
        </xdr:cNvSpPr>
      </xdr:nvSpPr>
      <xdr:spPr bwMode="auto">
        <a:xfrm>
          <a:off x="4772025" y="23317200"/>
          <a:ext cx="0" cy="2190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sp macro="" textlink="">
      <xdr:nvSpPr>
        <xdr:cNvPr id="30" name="テキスト 14">
          <a:extLst>
            <a:ext uri="{FF2B5EF4-FFF2-40B4-BE49-F238E27FC236}">
              <a16:creationId xmlns:a16="http://schemas.microsoft.com/office/drawing/2014/main" id="{2E6878E2-9D1B-4265-BCFD-6E0117E2A2FD}"/>
            </a:ext>
          </a:extLst>
        </xdr:cNvPr>
        <xdr:cNvSpPr txBox="1">
          <a:spLocks noChangeArrowheads="1"/>
        </xdr:cNvSpPr>
      </xdr:nvSpPr>
      <xdr:spPr bwMode="auto">
        <a:xfrm>
          <a:off x="5304692" y="29307692"/>
          <a:ext cx="0" cy="24911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水道局</a:t>
          </a:r>
        </a:p>
      </xdr:txBody>
    </xdr:sp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sp macro="" textlink="">
      <xdr:nvSpPr>
        <xdr:cNvPr id="31" name="テキスト 15">
          <a:extLst>
            <a:ext uri="{FF2B5EF4-FFF2-40B4-BE49-F238E27FC236}">
              <a16:creationId xmlns:a16="http://schemas.microsoft.com/office/drawing/2014/main" id="{549ABDBD-0287-4FCB-B0F3-1C766DA868F1}"/>
            </a:ext>
          </a:extLst>
        </xdr:cNvPr>
        <xdr:cNvSpPr txBox="1">
          <a:spLocks noChangeArrowheads="1"/>
        </xdr:cNvSpPr>
      </xdr:nvSpPr>
      <xdr:spPr bwMode="auto">
        <a:xfrm>
          <a:off x="5304692" y="29307692"/>
          <a:ext cx="0" cy="24911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dist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事業部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FE9BF-9573-4A70-A3B1-68C79185D10B}" name="テーブル1" displayName="テーブル1" ref="M1:P1048576" totalsRowShown="0">
  <autoFilter ref="M1:P1048576" xr:uid="{9B9FE9BF-9573-4A70-A3B1-68C79185D10B}">
    <filterColumn colId="0">
      <customFilters>
        <customFilter operator="notEqual" val=" "/>
      </customFilters>
    </filterColumn>
  </autoFilter>
  <tableColumns count="4">
    <tableColumn id="1" xr3:uid="{F6780208-2CD7-4A58-B859-5C35F1495688}" name="列1"/>
    <tableColumn id="2" xr3:uid="{8851FDCE-BC08-45AD-8285-01B9644A0BEA}" name="列2"/>
    <tableColumn id="3" xr3:uid="{D9271FE5-A6B9-4F78-8D2F-CA4B516075DB}" name="列3"/>
    <tableColumn id="4" xr3:uid="{E0B0B6BA-D776-4980-897E-B08B6A2A488F}" name="列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D514-9934-455F-A0B9-FA977F38807E}">
  <sheetPr codeName="Sheet1">
    <pageSetUpPr fitToPage="1"/>
  </sheetPr>
  <dimension ref="A1:C216"/>
  <sheetViews>
    <sheetView tabSelected="1" topLeftCell="A215" zoomScale="115" zoomScaleNormal="115" zoomScaleSheetLayoutView="91" zoomScalePageLayoutView="160" workbookViewId="0">
      <selection activeCell="C3" sqref="C3"/>
    </sheetView>
  </sheetViews>
  <sheetFormatPr defaultRowHeight="18.75" x14ac:dyDescent="0.4"/>
  <cols>
    <col min="1" max="1" width="26.75" customWidth="1"/>
    <col min="2" max="2" width="33.25" customWidth="1"/>
    <col min="3" max="3" width="54" style="24" customWidth="1"/>
    <col min="4" max="16384" width="9" style="25"/>
  </cols>
  <sheetData>
    <row r="1" spans="1:3" ht="19.5" thickBot="1" x14ac:dyDescent="0.45">
      <c r="A1" s="1" t="s">
        <v>0</v>
      </c>
      <c r="B1" s="2"/>
      <c r="C1" s="21" t="s">
        <v>1</v>
      </c>
    </row>
    <row r="2" spans="1:3" x14ac:dyDescent="0.4">
      <c r="A2" s="70" t="s">
        <v>740</v>
      </c>
      <c r="B2" s="3"/>
      <c r="C2" s="74" t="s">
        <v>733</v>
      </c>
    </row>
    <row r="3" spans="1:3" x14ac:dyDescent="0.4">
      <c r="A3" s="55" t="s">
        <v>731</v>
      </c>
      <c r="B3" s="11"/>
      <c r="C3" s="45" t="s">
        <v>732</v>
      </c>
    </row>
    <row r="4" spans="1:3" x14ac:dyDescent="0.4">
      <c r="A4" s="47" t="s">
        <v>741</v>
      </c>
      <c r="B4" s="15"/>
      <c r="C4" s="41" t="s">
        <v>734</v>
      </c>
    </row>
    <row r="5" spans="1:3" x14ac:dyDescent="0.4">
      <c r="A5" s="42"/>
      <c r="B5" s="9" t="s">
        <v>761</v>
      </c>
      <c r="C5" s="100" t="s">
        <v>735</v>
      </c>
    </row>
    <row r="6" spans="1:3" x14ac:dyDescent="0.4">
      <c r="A6" s="56" t="s">
        <v>742</v>
      </c>
      <c r="B6" s="12"/>
      <c r="C6" s="58" t="s">
        <v>736</v>
      </c>
    </row>
    <row r="7" spans="1:3" x14ac:dyDescent="0.4">
      <c r="A7" s="79" t="s">
        <v>743</v>
      </c>
      <c r="B7" s="11"/>
      <c r="C7" s="85" t="s">
        <v>929</v>
      </c>
    </row>
    <row r="8" spans="1:3" x14ac:dyDescent="0.4">
      <c r="A8" s="56" t="s">
        <v>744</v>
      </c>
      <c r="B8" s="15"/>
      <c r="C8" s="41" t="s">
        <v>737</v>
      </c>
    </row>
    <row r="9" spans="1:3" x14ac:dyDescent="0.4">
      <c r="A9" s="42"/>
      <c r="B9" s="15" t="s">
        <v>762</v>
      </c>
      <c r="C9" s="100" t="s">
        <v>738</v>
      </c>
    </row>
    <row r="10" spans="1:3" ht="35.25" customHeight="1" x14ac:dyDescent="0.4">
      <c r="A10" s="160"/>
      <c r="B10" s="80" t="s">
        <v>763</v>
      </c>
      <c r="C10" s="101" t="s">
        <v>739</v>
      </c>
    </row>
    <row r="11" spans="1:3" ht="32.25" customHeight="1" x14ac:dyDescent="0.4">
      <c r="A11" s="156" t="s">
        <v>765</v>
      </c>
      <c r="B11" s="157"/>
      <c r="C11" s="154" t="s">
        <v>917</v>
      </c>
    </row>
    <row r="12" spans="1:3" ht="22.5" customHeight="1" thickBot="1" x14ac:dyDescent="0.45">
      <c r="A12" s="158" t="s">
        <v>764</v>
      </c>
      <c r="B12" s="159"/>
      <c r="C12" s="99" t="s">
        <v>178</v>
      </c>
    </row>
    <row r="13" spans="1:3" ht="19.5" thickBot="1" x14ac:dyDescent="0.45">
      <c r="A13" s="5" t="s">
        <v>7</v>
      </c>
      <c r="B13" s="6"/>
      <c r="C13" s="22" t="s">
        <v>8</v>
      </c>
    </row>
    <row r="14" spans="1:3" x14ac:dyDescent="0.4">
      <c r="A14" s="60" t="s">
        <v>745</v>
      </c>
      <c r="B14" s="7"/>
      <c r="C14" s="62" t="s">
        <v>750</v>
      </c>
    </row>
    <row r="15" spans="1:3" x14ac:dyDescent="0.4">
      <c r="A15" s="47"/>
      <c r="B15" s="9" t="s">
        <v>766</v>
      </c>
      <c r="C15" s="69" t="s">
        <v>753</v>
      </c>
    </row>
    <row r="16" spans="1:3" x14ac:dyDescent="0.4">
      <c r="A16" s="47"/>
      <c r="B16" s="9" t="s">
        <v>767</v>
      </c>
      <c r="C16" s="100" t="s">
        <v>937</v>
      </c>
    </row>
    <row r="17" spans="1:3" x14ac:dyDescent="0.4">
      <c r="A17" s="47"/>
      <c r="B17" s="68" t="s">
        <v>918</v>
      </c>
      <c r="C17" s="161" t="s">
        <v>754</v>
      </c>
    </row>
    <row r="18" spans="1:3" x14ac:dyDescent="0.4">
      <c r="A18" s="47"/>
      <c r="B18" s="9" t="s">
        <v>768</v>
      </c>
      <c r="C18" s="69" t="s">
        <v>930</v>
      </c>
    </row>
    <row r="19" spans="1:3" x14ac:dyDescent="0.4">
      <c r="A19" s="56" t="s">
        <v>746</v>
      </c>
      <c r="B19" s="4"/>
      <c r="C19" s="76" t="s">
        <v>751</v>
      </c>
    </row>
    <row r="20" spans="1:3" x14ac:dyDescent="0.4">
      <c r="A20" s="56" t="s">
        <v>885</v>
      </c>
      <c r="B20" s="14"/>
      <c r="C20" s="76" t="s">
        <v>916</v>
      </c>
    </row>
    <row r="21" spans="1:3" x14ac:dyDescent="0.4">
      <c r="A21" s="79" t="s">
        <v>755</v>
      </c>
      <c r="B21" s="34"/>
      <c r="C21" s="85" t="s">
        <v>752</v>
      </c>
    </row>
    <row r="22" spans="1:3" x14ac:dyDescent="0.4">
      <c r="A22" s="102" t="s">
        <v>747</v>
      </c>
      <c r="B22" s="9"/>
      <c r="C22" s="100" t="s">
        <v>919</v>
      </c>
    </row>
    <row r="23" spans="1:3" x14ac:dyDescent="0.4">
      <c r="A23" s="79" t="s">
        <v>756</v>
      </c>
      <c r="B23" s="162"/>
      <c r="C23" s="163" t="s">
        <v>938</v>
      </c>
    </row>
    <row r="24" spans="1:3" x14ac:dyDescent="0.4">
      <c r="A24" s="102" t="s">
        <v>748</v>
      </c>
      <c r="B24" s="15"/>
      <c r="C24" s="120" t="s">
        <v>939</v>
      </c>
    </row>
    <row r="25" spans="1:3" ht="19.5" thickBot="1" x14ac:dyDescent="0.45">
      <c r="A25" s="102" t="s">
        <v>749</v>
      </c>
      <c r="B25" s="164"/>
      <c r="C25" s="120" t="s">
        <v>932</v>
      </c>
    </row>
    <row r="26" spans="1:3" ht="19.5" thickBot="1" x14ac:dyDescent="0.45">
      <c r="A26" s="5" t="s">
        <v>12</v>
      </c>
      <c r="B26" s="6"/>
      <c r="C26" s="22" t="s">
        <v>13</v>
      </c>
    </row>
    <row r="27" spans="1:3" x14ac:dyDescent="0.4">
      <c r="A27" s="47" t="s">
        <v>757</v>
      </c>
      <c r="B27" s="78"/>
      <c r="C27" s="41" t="s">
        <v>772</v>
      </c>
    </row>
    <row r="28" spans="1:3" x14ac:dyDescent="0.4">
      <c r="A28" s="47"/>
      <c r="B28" s="68" t="s">
        <v>769</v>
      </c>
      <c r="C28" s="100" t="s">
        <v>773</v>
      </c>
    </row>
    <row r="29" spans="1:3" x14ac:dyDescent="0.4">
      <c r="A29" s="54"/>
      <c r="B29" s="105" t="s">
        <v>770</v>
      </c>
      <c r="C29" s="108" t="s">
        <v>774</v>
      </c>
    </row>
    <row r="30" spans="1:3" s="37" customFormat="1" x14ac:dyDescent="0.4">
      <c r="A30" s="56" t="s">
        <v>758</v>
      </c>
      <c r="B30" s="106"/>
      <c r="C30" s="58" t="s">
        <v>775</v>
      </c>
    </row>
    <row r="31" spans="1:3" x14ac:dyDescent="0.4">
      <c r="A31" s="54"/>
      <c r="B31" s="105" t="s">
        <v>771</v>
      </c>
      <c r="C31" s="108" t="s">
        <v>776</v>
      </c>
    </row>
    <row r="32" spans="1:3" x14ac:dyDescent="0.4">
      <c r="A32" s="89" t="s">
        <v>759</v>
      </c>
      <c r="B32" s="107"/>
      <c r="C32" s="90" t="s">
        <v>777</v>
      </c>
    </row>
    <row r="33" spans="1:3" ht="19.5" thickBot="1" x14ac:dyDescent="0.45">
      <c r="A33" s="110" t="s">
        <v>760</v>
      </c>
      <c r="B33" s="104"/>
      <c r="C33" s="109" t="s">
        <v>778</v>
      </c>
    </row>
    <row r="34" spans="1:3" ht="19.5" thickBot="1" x14ac:dyDescent="0.45">
      <c r="A34" s="29" t="s">
        <v>15</v>
      </c>
      <c r="B34" s="30"/>
      <c r="C34" s="31" t="s">
        <v>16</v>
      </c>
    </row>
    <row r="35" spans="1:3" x14ac:dyDescent="0.4">
      <c r="A35" s="60" t="s">
        <v>779</v>
      </c>
      <c r="B35" s="81"/>
      <c r="C35" s="62" t="s">
        <v>783</v>
      </c>
    </row>
    <row r="36" spans="1:3" x14ac:dyDescent="0.4">
      <c r="A36" s="55" t="s">
        <v>780</v>
      </c>
      <c r="B36" s="84"/>
      <c r="C36" s="45" t="s">
        <v>784</v>
      </c>
    </row>
    <row r="37" spans="1:3" x14ac:dyDescent="0.4">
      <c r="A37" s="55" t="s">
        <v>781</v>
      </c>
      <c r="B37" s="84"/>
      <c r="C37" s="45" t="s">
        <v>785</v>
      </c>
    </row>
    <row r="38" spans="1:3" ht="19.5" thickBot="1" x14ac:dyDescent="0.45">
      <c r="A38" s="55" t="s">
        <v>782</v>
      </c>
      <c r="B38" s="84"/>
      <c r="C38" s="45" t="s">
        <v>786</v>
      </c>
    </row>
    <row r="39" spans="1:3" ht="19.5" thickBot="1" x14ac:dyDescent="0.45">
      <c r="A39" s="5" t="s">
        <v>20</v>
      </c>
      <c r="B39" s="6"/>
      <c r="C39" s="22" t="s">
        <v>21</v>
      </c>
    </row>
    <row r="40" spans="1:3" x14ac:dyDescent="0.4">
      <c r="A40" s="60" t="s">
        <v>787</v>
      </c>
      <c r="B40" s="7"/>
      <c r="C40" s="62" t="s">
        <v>795</v>
      </c>
    </row>
    <row r="41" spans="1:3" x14ac:dyDescent="0.4">
      <c r="A41" s="47"/>
      <c r="B41" s="9" t="s">
        <v>793</v>
      </c>
      <c r="C41" s="100" t="s">
        <v>796</v>
      </c>
    </row>
    <row r="42" spans="1:3" x14ac:dyDescent="0.4">
      <c r="A42" s="165"/>
      <c r="B42" s="10" t="s">
        <v>794</v>
      </c>
      <c r="C42" s="108" t="s">
        <v>797</v>
      </c>
    </row>
    <row r="43" spans="1:3" x14ac:dyDescent="0.4">
      <c r="A43" s="54" t="s">
        <v>788</v>
      </c>
      <c r="B43" s="8"/>
      <c r="C43" s="44" t="s">
        <v>798</v>
      </c>
    </row>
    <row r="44" spans="1:3" x14ac:dyDescent="0.4">
      <c r="A44" s="55" t="s">
        <v>789</v>
      </c>
      <c r="B44" s="11"/>
      <c r="C44" s="45" t="s">
        <v>799</v>
      </c>
    </row>
    <row r="45" spans="1:3" x14ac:dyDescent="0.4">
      <c r="A45" s="55" t="s">
        <v>790</v>
      </c>
      <c r="B45" s="11"/>
      <c r="C45" s="45" t="s">
        <v>800</v>
      </c>
    </row>
    <row r="46" spans="1:3" x14ac:dyDescent="0.4">
      <c r="A46" s="56" t="s">
        <v>791</v>
      </c>
      <c r="B46" s="12"/>
      <c r="C46" s="58" t="s">
        <v>801</v>
      </c>
    </row>
    <row r="47" spans="1:3" x14ac:dyDescent="0.4">
      <c r="A47" s="166"/>
      <c r="B47" s="8" t="s">
        <v>805</v>
      </c>
      <c r="C47" s="108" t="s">
        <v>802</v>
      </c>
    </row>
    <row r="48" spans="1:3" x14ac:dyDescent="0.4">
      <c r="A48" s="56" t="s">
        <v>792</v>
      </c>
      <c r="B48" s="167"/>
      <c r="C48" s="168" t="s">
        <v>803</v>
      </c>
    </row>
    <row r="49" spans="1:3" ht="19.5" thickBot="1" x14ac:dyDescent="0.45">
      <c r="A49" s="47"/>
      <c r="B49" s="36" t="s">
        <v>806</v>
      </c>
      <c r="C49" s="111" t="s">
        <v>804</v>
      </c>
    </row>
    <row r="50" spans="1:3" ht="19.5" thickBot="1" x14ac:dyDescent="0.45">
      <c r="A50" s="5" t="s">
        <v>26</v>
      </c>
      <c r="B50" s="6"/>
      <c r="C50" s="22" t="s">
        <v>27</v>
      </c>
    </row>
    <row r="51" spans="1:3" x14ac:dyDescent="0.4">
      <c r="A51" s="70" t="s">
        <v>807</v>
      </c>
      <c r="B51" s="94"/>
      <c r="C51" s="74" t="s">
        <v>811</v>
      </c>
    </row>
    <row r="52" spans="1:3" x14ac:dyDescent="0.4">
      <c r="A52" s="55" t="s">
        <v>808</v>
      </c>
      <c r="B52" s="88"/>
      <c r="C52" s="45" t="s">
        <v>812</v>
      </c>
    </row>
    <row r="53" spans="1:3" x14ac:dyDescent="0.4">
      <c r="A53" s="55" t="s">
        <v>809</v>
      </c>
      <c r="B53" s="88"/>
      <c r="C53" s="45" t="s">
        <v>813</v>
      </c>
    </row>
    <row r="54" spans="1:3" ht="19.5" thickBot="1" x14ac:dyDescent="0.45">
      <c r="A54" s="47" t="s">
        <v>810</v>
      </c>
      <c r="B54" s="83"/>
      <c r="C54" s="57" t="s">
        <v>814</v>
      </c>
    </row>
    <row r="55" spans="1:3" ht="19.5" thickBot="1" x14ac:dyDescent="0.45">
      <c r="A55" s="26" t="s">
        <v>33</v>
      </c>
      <c r="B55" s="27"/>
      <c r="C55" s="28" t="s">
        <v>34</v>
      </c>
    </row>
    <row r="56" spans="1:3" ht="19.5" thickBot="1" x14ac:dyDescent="0.45">
      <c r="A56" s="91" t="s">
        <v>815</v>
      </c>
      <c r="B56" s="52"/>
      <c r="C56" s="92" t="s">
        <v>816</v>
      </c>
    </row>
    <row r="57" spans="1:3" x14ac:dyDescent="0.4">
      <c r="A57" s="114" t="s">
        <v>817</v>
      </c>
      <c r="B57" s="61"/>
      <c r="C57" s="118" t="s">
        <v>828</v>
      </c>
    </row>
    <row r="58" spans="1:3" x14ac:dyDescent="0.4">
      <c r="A58" s="115"/>
      <c r="B58" s="10" t="s">
        <v>872</v>
      </c>
      <c r="C58" s="127" t="s">
        <v>829</v>
      </c>
    </row>
    <row r="59" spans="1:3" x14ac:dyDescent="0.4">
      <c r="A59" s="115" t="s">
        <v>818</v>
      </c>
      <c r="B59" s="14"/>
      <c r="C59" s="67" t="s">
        <v>830</v>
      </c>
    </row>
    <row r="60" spans="1:3" x14ac:dyDescent="0.4">
      <c r="A60" s="116" t="s">
        <v>819</v>
      </c>
      <c r="B60" s="11"/>
      <c r="C60" s="119" t="s">
        <v>831</v>
      </c>
    </row>
    <row r="61" spans="1:3" x14ac:dyDescent="0.4">
      <c r="A61" s="102" t="s">
        <v>820</v>
      </c>
      <c r="B61" s="9"/>
      <c r="C61" s="100" t="s">
        <v>832</v>
      </c>
    </row>
    <row r="62" spans="1:3" x14ac:dyDescent="0.4">
      <c r="A62" s="115" t="s">
        <v>38</v>
      </c>
      <c r="B62" s="8" t="s">
        <v>39</v>
      </c>
      <c r="C62" s="123" t="s">
        <v>833</v>
      </c>
    </row>
    <row r="63" spans="1:3" x14ac:dyDescent="0.4">
      <c r="A63" s="102" t="s">
        <v>821</v>
      </c>
      <c r="B63" s="4"/>
      <c r="C63" s="120" t="s">
        <v>834</v>
      </c>
    </row>
    <row r="64" spans="1:3" x14ac:dyDescent="0.4">
      <c r="A64" s="169" t="s">
        <v>38</v>
      </c>
      <c r="B64" s="59" t="s">
        <v>824</v>
      </c>
      <c r="C64" s="124" t="s">
        <v>835</v>
      </c>
    </row>
    <row r="65" spans="1:3" x14ac:dyDescent="0.4">
      <c r="A65" s="116" t="s">
        <v>822</v>
      </c>
      <c r="B65" s="14"/>
      <c r="C65" s="119" t="s">
        <v>836</v>
      </c>
    </row>
    <row r="66" spans="1:3" x14ac:dyDescent="0.4">
      <c r="A66" s="117" t="s">
        <v>823</v>
      </c>
      <c r="B66" s="151"/>
      <c r="C66" s="121" t="s">
        <v>837</v>
      </c>
    </row>
    <row r="67" spans="1:3" x14ac:dyDescent="0.4">
      <c r="A67" s="42"/>
      <c r="B67" s="9" t="s">
        <v>825</v>
      </c>
      <c r="C67" s="125" t="s">
        <v>838</v>
      </c>
    </row>
    <row r="68" spans="1:3" x14ac:dyDescent="0.4">
      <c r="A68" s="42"/>
      <c r="B68" s="9" t="s">
        <v>826</v>
      </c>
      <c r="C68" s="125" t="s">
        <v>839</v>
      </c>
    </row>
    <row r="69" spans="1:3" ht="19.5" thickBot="1" x14ac:dyDescent="0.45">
      <c r="A69" s="73"/>
      <c r="B69" s="35" t="s">
        <v>827</v>
      </c>
      <c r="C69" s="126" t="s">
        <v>840</v>
      </c>
    </row>
    <row r="70" spans="1:3" ht="19.5" thickBot="1" x14ac:dyDescent="0.45">
      <c r="A70" s="91" t="s">
        <v>841</v>
      </c>
      <c r="B70" s="52"/>
      <c r="C70" s="92" t="s">
        <v>842</v>
      </c>
    </row>
    <row r="71" spans="1:3" x14ac:dyDescent="0.4">
      <c r="A71" s="114" t="s">
        <v>483</v>
      </c>
      <c r="B71" s="7"/>
      <c r="C71" s="128" t="s">
        <v>636</v>
      </c>
    </row>
    <row r="72" spans="1:3" x14ac:dyDescent="0.4">
      <c r="A72" s="117" t="s">
        <v>843</v>
      </c>
      <c r="B72" s="4"/>
      <c r="C72" s="121" t="s">
        <v>637</v>
      </c>
    </row>
    <row r="73" spans="1:3" x14ac:dyDescent="0.4">
      <c r="A73" s="115" t="s">
        <v>448</v>
      </c>
      <c r="B73" s="8" t="s">
        <v>186</v>
      </c>
      <c r="C73" s="123" t="s">
        <v>844</v>
      </c>
    </row>
    <row r="74" spans="1:3" x14ac:dyDescent="0.4">
      <c r="A74" s="117" t="s">
        <v>485</v>
      </c>
      <c r="B74" s="12"/>
      <c r="C74" s="121" t="s">
        <v>638</v>
      </c>
    </row>
    <row r="75" spans="1:3" ht="28.5" x14ac:dyDescent="0.4">
      <c r="A75" s="115" t="s">
        <v>448</v>
      </c>
      <c r="B75" s="8" t="s">
        <v>847</v>
      </c>
      <c r="C75" s="170" t="s">
        <v>933</v>
      </c>
    </row>
    <row r="76" spans="1:3" x14ac:dyDescent="0.4">
      <c r="A76" s="102" t="s">
        <v>848</v>
      </c>
      <c r="B76" s="15"/>
      <c r="C76" s="100" t="s">
        <v>639</v>
      </c>
    </row>
    <row r="77" spans="1:3" x14ac:dyDescent="0.4">
      <c r="A77" s="115" t="s">
        <v>448</v>
      </c>
      <c r="B77" s="10" t="s">
        <v>44</v>
      </c>
      <c r="C77" s="123" t="s">
        <v>845</v>
      </c>
    </row>
    <row r="78" spans="1:3" x14ac:dyDescent="0.4">
      <c r="A78" s="102" t="s">
        <v>487</v>
      </c>
      <c r="B78" s="15"/>
      <c r="C78" s="100" t="s">
        <v>640</v>
      </c>
    </row>
    <row r="79" spans="1:3" x14ac:dyDescent="0.4">
      <c r="A79" s="117" t="s">
        <v>488</v>
      </c>
      <c r="B79" s="12"/>
      <c r="C79" s="129" t="s">
        <v>641</v>
      </c>
    </row>
    <row r="80" spans="1:3" x14ac:dyDescent="0.4">
      <c r="A80" s="116" t="s">
        <v>489</v>
      </c>
      <c r="B80" s="11"/>
      <c r="C80" s="119" t="s">
        <v>642</v>
      </c>
    </row>
    <row r="81" spans="1:3" x14ac:dyDescent="0.4">
      <c r="A81" s="116" t="s">
        <v>490</v>
      </c>
      <c r="B81" s="14"/>
      <c r="C81" s="119" t="s">
        <v>643</v>
      </c>
    </row>
    <row r="82" spans="1:3" x14ac:dyDescent="0.4">
      <c r="A82" s="116" t="s">
        <v>491</v>
      </c>
      <c r="B82" s="14"/>
      <c r="C82" s="119" t="s">
        <v>644</v>
      </c>
    </row>
    <row r="83" spans="1:3" x14ac:dyDescent="0.4">
      <c r="A83" s="115" t="s">
        <v>492</v>
      </c>
      <c r="B83" s="8"/>
      <c r="C83" s="108" t="s">
        <v>645</v>
      </c>
    </row>
    <row r="84" spans="1:3" x14ac:dyDescent="0.4">
      <c r="A84" s="102" t="s">
        <v>493</v>
      </c>
      <c r="B84" s="15"/>
      <c r="C84" s="100" t="s">
        <v>646</v>
      </c>
    </row>
    <row r="85" spans="1:3" x14ac:dyDescent="0.4">
      <c r="A85" s="115" t="s">
        <v>448</v>
      </c>
      <c r="B85" s="8" t="s">
        <v>45</v>
      </c>
      <c r="C85" s="123" t="s">
        <v>846</v>
      </c>
    </row>
    <row r="86" spans="1:3" x14ac:dyDescent="0.4">
      <c r="A86" s="102" t="s">
        <v>494</v>
      </c>
      <c r="B86" s="9"/>
      <c r="C86" s="108" t="s">
        <v>647</v>
      </c>
    </row>
    <row r="87" spans="1:3" ht="19.5" thickBot="1" x14ac:dyDescent="0.45">
      <c r="A87" s="116" t="s">
        <v>495</v>
      </c>
      <c r="B87" s="11"/>
      <c r="C87" s="119" t="s">
        <v>648</v>
      </c>
    </row>
    <row r="88" spans="1:3" ht="19.5" thickBot="1" x14ac:dyDescent="0.45">
      <c r="A88" s="91" t="s">
        <v>496</v>
      </c>
      <c r="B88" s="30"/>
      <c r="C88" s="92" t="s">
        <v>649</v>
      </c>
    </row>
    <row r="89" spans="1:3" x14ac:dyDescent="0.4">
      <c r="A89" s="65" t="s">
        <v>910</v>
      </c>
      <c r="B89" s="15"/>
      <c r="C89" s="120" t="s">
        <v>650</v>
      </c>
    </row>
    <row r="90" spans="1:3" x14ac:dyDescent="0.4">
      <c r="A90" s="112" t="s">
        <v>448</v>
      </c>
      <c r="B90" s="8" t="s">
        <v>48</v>
      </c>
      <c r="C90" s="123" t="s">
        <v>849</v>
      </c>
    </row>
    <row r="91" spans="1:3" x14ac:dyDescent="0.4">
      <c r="A91" s="65" t="s">
        <v>498</v>
      </c>
      <c r="B91" s="15"/>
      <c r="C91" s="120" t="s">
        <v>651</v>
      </c>
    </row>
    <row r="92" spans="1:3" x14ac:dyDescent="0.4">
      <c r="A92" s="113" t="s">
        <v>499</v>
      </c>
      <c r="B92" s="33"/>
      <c r="C92" s="131" t="s">
        <v>652</v>
      </c>
    </row>
    <row r="93" spans="1:3" x14ac:dyDescent="0.4">
      <c r="A93" s="112" t="s">
        <v>500</v>
      </c>
      <c r="B93" s="32"/>
      <c r="C93" s="67" t="s">
        <v>653</v>
      </c>
    </row>
    <row r="94" spans="1:3" x14ac:dyDescent="0.4">
      <c r="A94" s="112" t="s">
        <v>501</v>
      </c>
      <c r="B94" s="32"/>
      <c r="C94" s="67" t="s">
        <v>654</v>
      </c>
    </row>
    <row r="95" spans="1:3" x14ac:dyDescent="0.4">
      <c r="A95" s="113" t="s">
        <v>502</v>
      </c>
      <c r="B95" s="33"/>
      <c r="C95" s="131" t="s">
        <v>655</v>
      </c>
    </row>
    <row r="96" spans="1:3" x14ac:dyDescent="0.4">
      <c r="A96" s="113" t="s">
        <v>503</v>
      </c>
      <c r="B96" s="33"/>
      <c r="C96" s="131" t="s">
        <v>656</v>
      </c>
    </row>
    <row r="97" spans="1:3" x14ac:dyDescent="0.4">
      <c r="A97" s="134" t="s">
        <v>462</v>
      </c>
      <c r="B97" s="64"/>
      <c r="C97" s="155" t="s">
        <v>934</v>
      </c>
    </row>
    <row r="98" spans="1:3" ht="28.5" x14ac:dyDescent="0.4">
      <c r="A98" s="171" t="s">
        <v>920</v>
      </c>
      <c r="B98" s="33"/>
      <c r="C98" s="172" t="s">
        <v>935</v>
      </c>
    </row>
    <row r="99" spans="1:3" x14ac:dyDescent="0.4">
      <c r="A99" s="134" t="s">
        <v>504</v>
      </c>
      <c r="B99" s="32"/>
      <c r="C99" s="132" t="s">
        <v>658</v>
      </c>
    </row>
    <row r="100" spans="1:3" ht="19.5" thickBot="1" x14ac:dyDescent="0.45">
      <c r="A100" s="135" t="s">
        <v>505</v>
      </c>
      <c r="B100" s="12"/>
      <c r="C100" s="133" t="s">
        <v>659</v>
      </c>
    </row>
    <row r="101" spans="1:3" ht="19.5" thickBot="1" x14ac:dyDescent="0.45">
      <c r="A101" s="91" t="s">
        <v>850</v>
      </c>
      <c r="B101" s="52"/>
      <c r="C101" s="53" t="s">
        <v>150</v>
      </c>
    </row>
    <row r="102" spans="1:3" x14ac:dyDescent="0.4">
      <c r="A102" s="136" t="s">
        <v>508</v>
      </c>
      <c r="B102" s="94"/>
      <c r="C102" s="137" t="s">
        <v>662</v>
      </c>
    </row>
    <row r="103" spans="1:3" x14ac:dyDescent="0.4">
      <c r="A103" s="116" t="s">
        <v>509</v>
      </c>
      <c r="B103" s="88"/>
      <c r="C103" s="138" t="s">
        <v>663</v>
      </c>
    </row>
    <row r="104" spans="1:3" ht="19.5" thickBot="1" x14ac:dyDescent="0.45">
      <c r="A104" s="102" t="s">
        <v>510</v>
      </c>
      <c r="B104" s="82"/>
      <c r="C104" s="69" t="s">
        <v>664</v>
      </c>
    </row>
    <row r="105" spans="1:3" ht="19.5" thickBot="1" x14ac:dyDescent="0.45">
      <c r="A105" s="173" t="s">
        <v>851</v>
      </c>
      <c r="B105" s="174"/>
      <c r="C105" s="31" t="s">
        <v>921</v>
      </c>
    </row>
    <row r="106" spans="1:3" x14ac:dyDescent="0.4">
      <c r="A106" s="70" t="s">
        <v>854</v>
      </c>
      <c r="B106" s="94"/>
      <c r="C106" s="175" t="s">
        <v>922</v>
      </c>
    </row>
    <row r="107" spans="1:3" x14ac:dyDescent="0.4">
      <c r="A107" s="47" t="s">
        <v>852</v>
      </c>
      <c r="B107" s="176"/>
      <c r="C107" s="57" t="s">
        <v>853</v>
      </c>
    </row>
    <row r="108" spans="1:3" x14ac:dyDescent="0.4">
      <c r="A108" s="55" t="s">
        <v>859</v>
      </c>
      <c r="B108" s="48"/>
      <c r="C108" s="45" t="s">
        <v>858</v>
      </c>
    </row>
    <row r="109" spans="1:3" x14ac:dyDescent="0.4">
      <c r="A109" s="55" t="s">
        <v>855</v>
      </c>
      <c r="B109" s="84"/>
      <c r="C109" s="177" t="s">
        <v>936</v>
      </c>
    </row>
    <row r="110" spans="1:3" x14ac:dyDescent="0.4">
      <c r="A110" s="55" t="s">
        <v>860</v>
      </c>
      <c r="B110" s="48"/>
      <c r="C110" s="45" t="s">
        <v>857</v>
      </c>
    </row>
    <row r="111" spans="1:3" ht="19.5" thickBot="1" x14ac:dyDescent="0.45">
      <c r="A111" s="47" t="s">
        <v>861</v>
      </c>
      <c r="B111" s="78"/>
      <c r="C111" s="41" t="s">
        <v>856</v>
      </c>
    </row>
    <row r="112" spans="1:3" ht="19.5" thickBot="1" x14ac:dyDescent="0.45">
      <c r="A112" s="5" t="s">
        <v>67</v>
      </c>
      <c r="B112" s="6"/>
      <c r="C112" s="22" t="s">
        <v>68</v>
      </c>
    </row>
    <row r="113" spans="1:3" x14ac:dyDescent="0.4">
      <c r="A113" s="60" t="s">
        <v>519</v>
      </c>
      <c r="B113" s="7"/>
      <c r="C113" s="62" t="s">
        <v>883</v>
      </c>
    </row>
    <row r="114" spans="1:3" x14ac:dyDescent="0.4">
      <c r="A114" s="54"/>
      <c r="B114" s="8" t="s">
        <v>884</v>
      </c>
      <c r="C114" s="108" t="s">
        <v>923</v>
      </c>
    </row>
    <row r="115" spans="1:3" x14ac:dyDescent="0.4">
      <c r="A115" s="56" t="s">
        <v>520</v>
      </c>
      <c r="B115" s="12"/>
      <c r="C115" s="58" t="s">
        <v>672</v>
      </c>
    </row>
    <row r="116" spans="1:3" x14ac:dyDescent="0.4">
      <c r="A116" s="47" t="s">
        <v>448</v>
      </c>
      <c r="B116" s="9" t="s">
        <v>862</v>
      </c>
      <c r="C116" s="139" t="s">
        <v>864</v>
      </c>
    </row>
    <row r="117" spans="1:3" x14ac:dyDescent="0.4">
      <c r="A117" s="56" t="s">
        <v>521</v>
      </c>
      <c r="B117" s="12"/>
      <c r="C117" s="58" t="s">
        <v>673</v>
      </c>
    </row>
    <row r="118" spans="1:3" x14ac:dyDescent="0.4">
      <c r="A118" s="54" t="s">
        <v>448</v>
      </c>
      <c r="B118" s="8" t="s">
        <v>863</v>
      </c>
      <c r="C118" s="108" t="s">
        <v>865</v>
      </c>
    </row>
    <row r="119" spans="1:3" ht="19.5" thickBot="1" x14ac:dyDescent="0.45">
      <c r="A119" s="47" t="s">
        <v>522</v>
      </c>
      <c r="B119" s="9"/>
      <c r="C119" s="41" t="s">
        <v>674</v>
      </c>
    </row>
    <row r="120" spans="1:3" ht="19.5" thickBot="1" x14ac:dyDescent="0.45">
      <c r="A120" s="5" t="s">
        <v>72</v>
      </c>
      <c r="B120" s="6"/>
      <c r="C120" s="22" t="s">
        <v>73</v>
      </c>
    </row>
    <row r="121" spans="1:3" x14ac:dyDescent="0.4">
      <c r="A121" s="70" t="s">
        <v>524</v>
      </c>
      <c r="B121" s="140"/>
      <c r="C121" s="74" t="s">
        <v>675</v>
      </c>
    </row>
    <row r="122" spans="1:3" x14ac:dyDescent="0.4">
      <c r="A122" s="54" t="s">
        <v>525</v>
      </c>
      <c r="B122" s="141"/>
      <c r="C122" s="44" t="s">
        <v>676</v>
      </c>
    </row>
    <row r="123" spans="1:3" x14ac:dyDescent="0.4">
      <c r="A123" s="55" t="s">
        <v>526</v>
      </c>
      <c r="B123" s="50"/>
      <c r="C123" s="45" t="s">
        <v>677</v>
      </c>
    </row>
    <row r="124" spans="1:3" x14ac:dyDescent="0.4">
      <c r="A124" s="55" t="s">
        <v>527</v>
      </c>
      <c r="B124" s="48"/>
      <c r="C124" s="95" t="s">
        <v>678</v>
      </c>
    </row>
    <row r="125" spans="1:3" x14ac:dyDescent="0.4">
      <c r="A125" s="55" t="s">
        <v>528</v>
      </c>
      <c r="B125" s="48"/>
      <c r="C125" s="45" t="s">
        <v>679</v>
      </c>
    </row>
    <row r="126" spans="1:3" x14ac:dyDescent="0.4">
      <c r="A126" s="47" t="s">
        <v>529</v>
      </c>
      <c r="B126" s="78"/>
      <c r="C126" s="41" t="s">
        <v>680</v>
      </c>
    </row>
    <row r="127" spans="1:3" ht="19.5" thickBot="1" x14ac:dyDescent="0.45">
      <c r="A127" s="42"/>
      <c r="B127" s="178" t="s">
        <v>866</v>
      </c>
      <c r="C127" s="120" t="s">
        <v>867</v>
      </c>
    </row>
    <row r="128" spans="1:3" ht="19.5" thickBot="1" x14ac:dyDescent="0.45">
      <c r="A128" s="29" t="s">
        <v>77</v>
      </c>
      <c r="B128" s="72"/>
      <c r="C128" s="31" t="s">
        <v>78</v>
      </c>
    </row>
    <row r="129" spans="1:3" x14ac:dyDescent="0.4">
      <c r="A129" s="47" t="s">
        <v>868</v>
      </c>
      <c r="B129" s="40"/>
      <c r="C129" s="71" t="s">
        <v>681</v>
      </c>
    </row>
    <row r="130" spans="1:3" x14ac:dyDescent="0.4">
      <c r="A130" s="47" t="s">
        <v>448</v>
      </c>
      <c r="B130" s="9" t="s">
        <v>873</v>
      </c>
      <c r="C130" s="139" t="s">
        <v>869</v>
      </c>
    </row>
    <row r="131" spans="1:3" x14ac:dyDescent="0.4">
      <c r="A131" s="47" t="s">
        <v>448</v>
      </c>
      <c r="B131" s="9" t="s">
        <v>874</v>
      </c>
      <c r="C131" s="139" t="s">
        <v>870</v>
      </c>
    </row>
    <row r="132" spans="1:3" x14ac:dyDescent="0.4">
      <c r="A132" s="55" t="s">
        <v>532</v>
      </c>
      <c r="B132" s="11"/>
      <c r="C132" s="45" t="s">
        <v>682</v>
      </c>
    </row>
    <row r="133" spans="1:3" x14ac:dyDescent="0.4">
      <c r="A133" s="56" t="s">
        <v>533</v>
      </c>
      <c r="B133" s="12"/>
      <c r="C133" s="63" t="s">
        <v>683</v>
      </c>
    </row>
    <row r="134" spans="1:3" x14ac:dyDescent="0.4">
      <c r="A134" s="47" t="s">
        <v>448</v>
      </c>
      <c r="B134" s="9" t="s">
        <v>875</v>
      </c>
      <c r="C134" s="69" t="s">
        <v>871</v>
      </c>
    </row>
    <row r="135" spans="1:3" x14ac:dyDescent="0.4">
      <c r="A135" s="55" t="s">
        <v>534</v>
      </c>
      <c r="B135" s="14"/>
      <c r="C135" s="45" t="s">
        <v>684</v>
      </c>
    </row>
    <row r="136" spans="1:3" x14ac:dyDescent="0.4">
      <c r="A136" s="56" t="s">
        <v>886</v>
      </c>
      <c r="B136" s="179"/>
      <c r="C136" s="63" t="s">
        <v>887</v>
      </c>
    </row>
    <row r="137" spans="1:3" x14ac:dyDescent="0.4">
      <c r="A137" s="42" t="s">
        <v>448</v>
      </c>
      <c r="B137" s="180" t="s">
        <v>876</v>
      </c>
      <c r="C137" s="69" t="s">
        <v>889</v>
      </c>
    </row>
    <row r="138" spans="1:3" ht="19.5" thickBot="1" x14ac:dyDescent="0.45">
      <c r="A138" s="73" t="s">
        <v>448</v>
      </c>
      <c r="B138" s="181" t="s">
        <v>888</v>
      </c>
      <c r="C138" s="109" t="s">
        <v>924</v>
      </c>
    </row>
    <row r="139" spans="1:3" ht="19.5" thickBot="1" x14ac:dyDescent="0.45">
      <c r="A139" s="29" t="s">
        <v>125</v>
      </c>
      <c r="B139" s="30"/>
      <c r="C139" s="31" t="s">
        <v>140</v>
      </c>
    </row>
    <row r="140" spans="1:3" x14ac:dyDescent="0.4">
      <c r="A140" s="47" t="s">
        <v>539</v>
      </c>
      <c r="B140" s="9"/>
      <c r="C140" s="43" t="s">
        <v>688</v>
      </c>
    </row>
    <row r="141" spans="1:3" s="37" customFormat="1" x14ac:dyDescent="0.4">
      <c r="A141" s="56" t="s">
        <v>540</v>
      </c>
      <c r="B141" s="12"/>
      <c r="C141" s="63" t="s">
        <v>689</v>
      </c>
    </row>
    <row r="142" spans="1:3" x14ac:dyDescent="0.4">
      <c r="A142" s="54" t="s">
        <v>448</v>
      </c>
      <c r="B142" s="182" t="s">
        <v>877</v>
      </c>
      <c r="C142" s="142" t="s">
        <v>890</v>
      </c>
    </row>
    <row r="143" spans="1:3" x14ac:dyDescent="0.4">
      <c r="A143" s="56" t="s">
        <v>541</v>
      </c>
      <c r="B143" s="12"/>
      <c r="C143" s="63" t="s">
        <v>690</v>
      </c>
    </row>
    <row r="144" spans="1:3" ht="19.5" thickBot="1" x14ac:dyDescent="0.45">
      <c r="A144" s="54" t="s">
        <v>448</v>
      </c>
      <c r="B144" s="8" t="s">
        <v>878</v>
      </c>
      <c r="C144" s="142" t="s">
        <v>891</v>
      </c>
    </row>
    <row r="145" spans="1:3" ht="19.5" thickBot="1" x14ac:dyDescent="0.45">
      <c r="A145" s="5" t="s">
        <v>82</v>
      </c>
      <c r="B145" s="6"/>
      <c r="C145" s="22" t="s">
        <v>83</v>
      </c>
    </row>
    <row r="146" spans="1:3" ht="19.5" thickBot="1" x14ac:dyDescent="0.45">
      <c r="A146" s="96" t="s">
        <v>543</v>
      </c>
      <c r="B146" s="143"/>
      <c r="C146" s="97" t="s">
        <v>691</v>
      </c>
    </row>
    <row r="147" spans="1:3" x14ac:dyDescent="0.4">
      <c r="A147" s="136" t="s">
        <v>446</v>
      </c>
      <c r="B147" s="94"/>
      <c r="C147" s="145" t="s">
        <v>609</v>
      </c>
    </row>
    <row r="148" spans="1:3" x14ac:dyDescent="0.4">
      <c r="A148" s="115" t="s">
        <v>544</v>
      </c>
      <c r="B148" s="93"/>
      <c r="C148" s="108" t="s">
        <v>692</v>
      </c>
    </row>
    <row r="149" spans="1:3" x14ac:dyDescent="0.4">
      <c r="A149" s="116" t="s">
        <v>545</v>
      </c>
      <c r="B149" s="88"/>
      <c r="C149" s="119" t="s">
        <v>612</v>
      </c>
    </row>
    <row r="150" spans="1:3" ht="19.5" thickBot="1" x14ac:dyDescent="0.45">
      <c r="A150" s="102" t="s">
        <v>546</v>
      </c>
      <c r="B150" s="83"/>
      <c r="C150" s="100" t="s">
        <v>693</v>
      </c>
    </row>
    <row r="151" spans="1:3" ht="19.5" thickBot="1" x14ac:dyDescent="0.45">
      <c r="A151" s="86" t="s">
        <v>547</v>
      </c>
      <c r="B151" s="144"/>
      <c r="C151" s="87" t="s">
        <v>694</v>
      </c>
    </row>
    <row r="152" spans="1:3" x14ac:dyDescent="0.4">
      <c r="A152" s="136" t="s">
        <v>548</v>
      </c>
      <c r="B152" s="49"/>
      <c r="C152" s="146" t="s">
        <v>695</v>
      </c>
    </row>
    <row r="153" spans="1:3" x14ac:dyDescent="0.4">
      <c r="A153" s="116" t="s">
        <v>549</v>
      </c>
      <c r="B153" s="50"/>
      <c r="C153" s="131" t="s">
        <v>696</v>
      </c>
    </row>
    <row r="154" spans="1:3" x14ac:dyDescent="0.4">
      <c r="A154" s="117" t="s">
        <v>550</v>
      </c>
      <c r="B154" s="103"/>
      <c r="C154" s="147" t="s">
        <v>697</v>
      </c>
    </row>
    <row r="155" spans="1:3" x14ac:dyDescent="0.4">
      <c r="A155" s="115" t="s">
        <v>448</v>
      </c>
      <c r="B155" s="141" t="s">
        <v>879</v>
      </c>
      <c r="C155" s="132" t="s">
        <v>892</v>
      </c>
    </row>
    <row r="156" spans="1:3" x14ac:dyDescent="0.4">
      <c r="A156" s="116" t="s">
        <v>551</v>
      </c>
      <c r="B156" s="50"/>
      <c r="C156" s="131" t="s">
        <v>698</v>
      </c>
    </row>
    <row r="157" spans="1:3" x14ac:dyDescent="0.4">
      <c r="A157" s="102" t="s">
        <v>552</v>
      </c>
      <c r="B157" s="51"/>
      <c r="C157" s="120" t="s">
        <v>699</v>
      </c>
    </row>
    <row r="158" spans="1:3" x14ac:dyDescent="0.4">
      <c r="A158" s="116" t="s">
        <v>553</v>
      </c>
      <c r="B158" s="50"/>
      <c r="C158" s="131" t="s">
        <v>700</v>
      </c>
    </row>
    <row r="159" spans="1:3" x14ac:dyDescent="0.4">
      <c r="A159" s="102" t="s">
        <v>554</v>
      </c>
      <c r="B159" s="51"/>
      <c r="C159" s="120" t="s">
        <v>701</v>
      </c>
    </row>
    <row r="160" spans="1:3" ht="19.5" thickBot="1" x14ac:dyDescent="0.45">
      <c r="A160" s="47" t="s">
        <v>448</v>
      </c>
      <c r="B160" s="51" t="s">
        <v>880</v>
      </c>
      <c r="C160" s="148" t="s">
        <v>928</v>
      </c>
    </row>
    <row r="161" spans="1:3" ht="19.5" thickBot="1" x14ac:dyDescent="0.45">
      <c r="A161" s="16" t="s">
        <v>96</v>
      </c>
      <c r="B161" s="17"/>
      <c r="C161" s="23" t="s">
        <v>97</v>
      </c>
    </row>
    <row r="162" spans="1:3" x14ac:dyDescent="0.4">
      <c r="A162" s="70" t="s">
        <v>446</v>
      </c>
      <c r="B162" s="13"/>
      <c r="C162" s="75" t="s">
        <v>609</v>
      </c>
    </row>
    <row r="163" spans="1:3" x14ac:dyDescent="0.4">
      <c r="A163" s="55" t="s">
        <v>556</v>
      </c>
      <c r="B163" s="14"/>
      <c r="C163" s="66" t="s">
        <v>702</v>
      </c>
    </row>
    <row r="164" spans="1:3" x14ac:dyDescent="0.4">
      <c r="A164" s="55" t="s">
        <v>557</v>
      </c>
      <c r="B164" s="14"/>
      <c r="C164" s="66" t="s">
        <v>703</v>
      </c>
    </row>
    <row r="165" spans="1:3" x14ac:dyDescent="0.4">
      <c r="A165" s="55" t="s">
        <v>558</v>
      </c>
      <c r="B165" s="14"/>
      <c r="C165" s="66" t="s">
        <v>704</v>
      </c>
    </row>
    <row r="166" spans="1:3" x14ac:dyDescent="0.4">
      <c r="A166" s="56" t="s">
        <v>559</v>
      </c>
      <c r="B166" s="4"/>
      <c r="C166" s="58" t="s">
        <v>705</v>
      </c>
    </row>
    <row r="167" spans="1:3" x14ac:dyDescent="0.4">
      <c r="A167" s="47"/>
      <c r="B167" s="15" t="s">
        <v>911</v>
      </c>
      <c r="C167" s="120" t="s">
        <v>926</v>
      </c>
    </row>
    <row r="168" spans="1:3" x14ac:dyDescent="0.4">
      <c r="A168" s="47"/>
      <c r="B168" s="15" t="s">
        <v>912</v>
      </c>
      <c r="C168" s="120" t="s">
        <v>931</v>
      </c>
    </row>
    <row r="169" spans="1:3" x14ac:dyDescent="0.4">
      <c r="A169" s="47"/>
      <c r="B169" s="15" t="s">
        <v>913</v>
      </c>
      <c r="C169" s="120" t="s">
        <v>925</v>
      </c>
    </row>
    <row r="170" spans="1:3" x14ac:dyDescent="0.4">
      <c r="A170" s="56" t="s">
        <v>560</v>
      </c>
      <c r="B170" s="4"/>
      <c r="C170" s="76" t="s">
        <v>706</v>
      </c>
    </row>
    <row r="171" spans="1:3" x14ac:dyDescent="0.4">
      <c r="A171" s="47" t="s">
        <v>448</v>
      </c>
      <c r="B171" s="15" t="s">
        <v>102</v>
      </c>
      <c r="C171" s="120" t="s">
        <v>893</v>
      </c>
    </row>
    <row r="172" spans="1:3" x14ac:dyDescent="0.4">
      <c r="A172" s="47" t="s">
        <v>448</v>
      </c>
      <c r="B172" s="15" t="s">
        <v>103</v>
      </c>
      <c r="C172" s="120" t="s">
        <v>894</v>
      </c>
    </row>
    <row r="173" spans="1:3" x14ac:dyDescent="0.4">
      <c r="A173" s="54" t="s">
        <v>448</v>
      </c>
      <c r="B173" s="10" t="s">
        <v>104</v>
      </c>
      <c r="C173" s="67" t="s">
        <v>895</v>
      </c>
    </row>
    <row r="174" spans="1:3" x14ac:dyDescent="0.4">
      <c r="A174" s="47" t="s">
        <v>561</v>
      </c>
      <c r="B174" s="15"/>
      <c r="C174" s="57" t="s">
        <v>707</v>
      </c>
    </row>
    <row r="175" spans="1:3" x14ac:dyDescent="0.4">
      <c r="A175" s="47" t="s">
        <v>448</v>
      </c>
      <c r="B175" s="15" t="s">
        <v>105</v>
      </c>
      <c r="C175" s="120" t="s">
        <v>896</v>
      </c>
    </row>
    <row r="176" spans="1:3" x14ac:dyDescent="0.4">
      <c r="A176" s="54" t="s">
        <v>448</v>
      </c>
      <c r="B176" s="10" t="s">
        <v>106</v>
      </c>
      <c r="C176" s="67" t="s">
        <v>897</v>
      </c>
    </row>
    <row r="177" spans="1:3" x14ac:dyDescent="0.4">
      <c r="A177" s="47" t="s">
        <v>562</v>
      </c>
      <c r="B177" s="15"/>
      <c r="C177" s="57" t="s">
        <v>708</v>
      </c>
    </row>
    <row r="178" spans="1:3" x14ac:dyDescent="0.4">
      <c r="A178" s="47" t="s">
        <v>448</v>
      </c>
      <c r="B178" s="15" t="s">
        <v>187</v>
      </c>
      <c r="C178" s="120" t="s">
        <v>898</v>
      </c>
    </row>
    <row r="179" spans="1:3" x14ac:dyDescent="0.4">
      <c r="A179" s="47" t="s">
        <v>448</v>
      </c>
      <c r="B179" s="15" t="s">
        <v>107</v>
      </c>
      <c r="C179" s="120" t="s">
        <v>907</v>
      </c>
    </row>
    <row r="180" spans="1:3" x14ac:dyDescent="0.4">
      <c r="A180" s="47" t="s">
        <v>448</v>
      </c>
      <c r="B180" s="15" t="s">
        <v>108</v>
      </c>
      <c r="C180" s="120" t="s">
        <v>899</v>
      </c>
    </row>
    <row r="181" spans="1:3" x14ac:dyDescent="0.4">
      <c r="A181" s="47" t="s">
        <v>448</v>
      </c>
      <c r="B181" s="15" t="s">
        <v>109</v>
      </c>
      <c r="C181" s="120" t="s">
        <v>900</v>
      </c>
    </row>
    <row r="182" spans="1:3" x14ac:dyDescent="0.4">
      <c r="A182" s="54" t="s">
        <v>448</v>
      </c>
      <c r="B182" s="10" t="s">
        <v>110</v>
      </c>
      <c r="C182" s="130" t="s">
        <v>901</v>
      </c>
    </row>
    <row r="183" spans="1:3" x14ac:dyDescent="0.4">
      <c r="A183" s="47" t="s">
        <v>563</v>
      </c>
      <c r="B183" s="15"/>
      <c r="C183" s="57" t="s">
        <v>709</v>
      </c>
    </row>
    <row r="184" spans="1:3" ht="19.5" thickBot="1" x14ac:dyDescent="0.45">
      <c r="A184" s="46" t="s">
        <v>448</v>
      </c>
      <c r="B184" s="20" t="s">
        <v>112</v>
      </c>
      <c r="C184" s="149" t="s">
        <v>902</v>
      </c>
    </row>
    <row r="185" spans="1:3" ht="19.5" thickBot="1" x14ac:dyDescent="0.45">
      <c r="A185" s="16" t="s">
        <v>113</v>
      </c>
      <c r="B185" s="17"/>
      <c r="C185" s="28" t="s">
        <v>156</v>
      </c>
    </row>
    <row r="186" spans="1:3" ht="19.5" thickBot="1" x14ac:dyDescent="0.45">
      <c r="A186" s="86" t="s">
        <v>565</v>
      </c>
      <c r="B186" s="17"/>
      <c r="C186" s="98" t="s">
        <v>906</v>
      </c>
    </row>
    <row r="187" spans="1:3" x14ac:dyDescent="0.4">
      <c r="A187" s="136" t="s">
        <v>446</v>
      </c>
      <c r="B187" s="13"/>
      <c r="C187" s="137" t="s">
        <v>609</v>
      </c>
    </row>
    <row r="188" spans="1:3" x14ac:dyDescent="0.4">
      <c r="A188" s="115" t="s">
        <v>448</v>
      </c>
      <c r="B188" s="10" t="s">
        <v>882</v>
      </c>
      <c r="C188" s="130" t="s">
        <v>927</v>
      </c>
    </row>
    <row r="189" spans="1:3" x14ac:dyDescent="0.4">
      <c r="A189" s="116" t="s">
        <v>566</v>
      </c>
      <c r="B189" s="14"/>
      <c r="C189" s="131" t="s">
        <v>712</v>
      </c>
    </row>
    <row r="190" spans="1:3" x14ac:dyDescent="0.4">
      <c r="A190" s="116" t="s">
        <v>914</v>
      </c>
      <c r="B190" s="14"/>
      <c r="C190" s="131" t="s">
        <v>915</v>
      </c>
    </row>
    <row r="191" spans="1:3" x14ac:dyDescent="0.4">
      <c r="A191" s="116" t="s">
        <v>567</v>
      </c>
      <c r="B191" s="14"/>
      <c r="C191" s="131" t="s">
        <v>909</v>
      </c>
    </row>
    <row r="192" spans="1:3" x14ac:dyDescent="0.4">
      <c r="A192" s="116" t="s">
        <v>568</v>
      </c>
      <c r="B192" s="14"/>
      <c r="C192" s="131" t="s">
        <v>714</v>
      </c>
    </row>
    <row r="193" spans="1:3" x14ac:dyDescent="0.4">
      <c r="A193" s="116" t="s">
        <v>569</v>
      </c>
      <c r="B193" s="14"/>
      <c r="C193" s="131" t="s">
        <v>715</v>
      </c>
    </row>
    <row r="194" spans="1:3" x14ac:dyDescent="0.4">
      <c r="A194" s="102" t="s">
        <v>570</v>
      </c>
      <c r="B194" s="9"/>
      <c r="C194" s="100" t="s">
        <v>716</v>
      </c>
    </row>
    <row r="195" spans="1:3" x14ac:dyDescent="0.4">
      <c r="A195" s="102" t="s">
        <v>448</v>
      </c>
      <c r="B195" s="15" t="s">
        <v>29</v>
      </c>
      <c r="C195" s="148" t="s">
        <v>903</v>
      </c>
    </row>
    <row r="196" spans="1:3" x14ac:dyDescent="0.4">
      <c r="A196" s="102" t="s">
        <v>448</v>
      </c>
      <c r="B196" s="15" t="s">
        <v>30</v>
      </c>
      <c r="C196" s="148" t="s">
        <v>908</v>
      </c>
    </row>
    <row r="197" spans="1:3" x14ac:dyDescent="0.4">
      <c r="A197" s="115" t="s">
        <v>448</v>
      </c>
      <c r="B197" s="10" t="s">
        <v>31</v>
      </c>
      <c r="C197" s="122" t="s">
        <v>904</v>
      </c>
    </row>
    <row r="198" spans="1:3" x14ac:dyDescent="0.4">
      <c r="A198" s="117" t="s">
        <v>571</v>
      </c>
      <c r="B198" s="4"/>
      <c r="C198" s="147" t="s">
        <v>717</v>
      </c>
    </row>
    <row r="199" spans="1:3" x14ac:dyDescent="0.4">
      <c r="A199" s="102" t="s">
        <v>572</v>
      </c>
      <c r="B199" s="15"/>
      <c r="C199" s="120" t="s">
        <v>718</v>
      </c>
    </row>
    <row r="200" spans="1:3" x14ac:dyDescent="0.4">
      <c r="A200" s="102" t="s">
        <v>573</v>
      </c>
      <c r="B200" s="15"/>
      <c r="C200" s="120" t="s">
        <v>719</v>
      </c>
    </row>
    <row r="201" spans="1:3" ht="19.5" thickBot="1" x14ac:dyDescent="0.45">
      <c r="A201" s="102" t="s">
        <v>448</v>
      </c>
      <c r="B201" s="15" t="s">
        <v>881</v>
      </c>
      <c r="C201" s="148" t="s">
        <v>905</v>
      </c>
    </row>
    <row r="202" spans="1:3" ht="19.5" thickBot="1" x14ac:dyDescent="0.45">
      <c r="A202" s="86" t="s">
        <v>574</v>
      </c>
      <c r="B202" s="17"/>
      <c r="C202" s="98" t="s">
        <v>720</v>
      </c>
    </row>
    <row r="203" spans="1:3" x14ac:dyDescent="0.4">
      <c r="A203" s="136" t="s">
        <v>575</v>
      </c>
      <c r="B203" s="49"/>
      <c r="C203" s="137" t="s">
        <v>721</v>
      </c>
    </row>
    <row r="204" spans="1:3" x14ac:dyDescent="0.4">
      <c r="A204" s="116" t="s">
        <v>576</v>
      </c>
      <c r="B204" s="50"/>
      <c r="C204" s="138" t="s">
        <v>722</v>
      </c>
    </row>
    <row r="205" spans="1:3" x14ac:dyDescent="0.4">
      <c r="A205" s="116" t="s">
        <v>577</v>
      </c>
      <c r="B205" s="50"/>
      <c r="C205" s="138" t="s">
        <v>723</v>
      </c>
    </row>
    <row r="206" spans="1:3" ht="19.5" thickBot="1" x14ac:dyDescent="0.45">
      <c r="A206" s="115" t="s">
        <v>578</v>
      </c>
      <c r="B206" s="141"/>
      <c r="C206" s="130" t="s">
        <v>724</v>
      </c>
    </row>
    <row r="207" spans="1:3" ht="19.5" thickBot="1" x14ac:dyDescent="0.45">
      <c r="A207" s="16" t="s">
        <v>579</v>
      </c>
      <c r="B207" s="6"/>
      <c r="C207" s="31" t="s">
        <v>725</v>
      </c>
    </row>
    <row r="208" spans="1:3" ht="19.5" thickBot="1" x14ac:dyDescent="0.45">
      <c r="A208" s="47" t="s">
        <v>580</v>
      </c>
      <c r="B208" s="15"/>
      <c r="C208" s="57" t="s">
        <v>726</v>
      </c>
    </row>
    <row r="209" spans="1:3" ht="19.5" thickBot="1" x14ac:dyDescent="0.45">
      <c r="A209" s="16" t="s">
        <v>581</v>
      </c>
      <c r="B209" s="17"/>
      <c r="C209" s="28" t="s">
        <v>174</v>
      </c>
    </row>
    <row r="210" spans="1:3" x14ac:dyDescent="0.4">
      <c r="A210" s="47" t="s">
        <v>582</v>
      </c>
      <c r="B210" s="15"/>
      <c r="C210" s="57" t="s">
        <v>727</v>
      </c>
    </row>
    <row r="211" spans="1:3" x14ac:dyDescent="0.4">
      <c r="A211" s="152" t="s">
        <v>583</v>
      </c>
      <c r="B211" s="38"/>
      <c r="C211" s="153" t="s">
        <v>424</v>
      </c>
    </row>
    <row r="212" spans="1:3" x14ac:dyDescent="0.4">
      <c r="A212" s="152" t="s">
        <v>584</v>
      </c>
      <c r="B212" s="38"/>
      <c r="C212" s="153" t="s">
        <v>425</v>
      </c>
    </row>
    <row r="213" spans="1:3" x14ac:dyDescent="0.4">
      <c r="A213" s="152" t="s">
        <v>585</v>
      </c>
      <c r="B213" s="38"/>
      <c r="C213" s="153" t="s">
        <v>426</v>
      </c>
    </row>
    <row r="214" spans="1:3" ht="19.5" thickBot="1" x14ac:dyDescent="0.45">
      <c r="A214" s="18" t="s">
        <v>586</v>
      </c>
      <c r="B214" s="19"/>
      <c r="C214" s="39" t="s">
        <v>728</v>
      </c>
    </row>
    <row r="215" spans="1:3" x14ac:dyDescent="0.4">
      <c r="A215" s="70" t="s">
        <v>587</v>
      </c>
      <c r="B215" s="49"/>
      <c r="C215" s="75" t="s">
        <v>729</v>
      </c>
    </row>
    <row r="216" spans="1:3" ht="19.5" thickBot="1" x14ac:dyDescent="0.45">
      <c r="A216" s="46" t="s">
        <v>588</v>
      </c>
      <c r="B216" s="150"/>
      <c r="C216" s="77" t="s">
        <v>730</v>
      </c>
    </row>
  </sheetData>
  <mergeCells count="2">
    <mergeCell ref="A11:B11"/>
    <mergeCell ref="A12:B12"/>
  </mergeCells>
  <phoneticPr fontId="1"/>
  <printOptions horizontalCentered="1"/>
  <pageMargins left="0.70866141732283472" right="0.70866141732283472" top="0.94488188976377963" bottom="0.27559055118110237" header="0.31496062992125984" footer="0.11811023622047245"/>
  <pageSetup paperSize="9" scale="71" fitToHeight="4" orientation="portrait" r:id="rId1"/>
  <headerFooter>
    <oddHeader>&amp;L&amp;14&amp;U令和8年度（2026年度）部課等英語表記一覧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1064-868A-41BE-9DA8-12DE3CEAB967}">
  <sheetPr codeName="Sheet2"/>
  <dimension ref="A1:P213"/>
  <sheetViews>
    <sheetView workbookViewId="0">
      <selection activeCell="P1" activeCellId="2" sqref="M1:M1048576 O1:O1048576 P1:P1048576"/>
    </sheetView>
  </sheetViews>
  <sheetFormatPr defaultRowHeight="18.75" zeroHeight="1" x14ac:dyDescent="0.4"/>
  <sheetData>
    <row r="1" spans="1:16" x14ac:dyDescent="0.4">
      <c r="A1" t="s">
        <v>0</v>
      </c>
      <c r="C1" t="s">
        <v>200</v>
      </c>
      <c r="F1" t="str">
        <f>TRIM(A1)</f>
        <v>市長室</v>
      </c>
      <c r="G1" t="str">
        <f>SUBSTITUTE(SUBSTITUTE(SUBSTITUTE(SUBSTITUTE(F1, "(", ""), ")", ""), "（", ""), "）", "")</f>
        <v>市長室</v>
      </c>
      <c r="H1" t="b">
        <f>IF(A1=TRIM(A1), TRUE, FALSE)</f>
        <v>1</v>
      </c>
      <c r="I1" t="s">
        <v>433</v>
      </c>
      <c r="M1" t="s">
        <v>589</v>
      </c>
      <c r="N1" t="s">
        <v>590</v>
      </c>
      <c r="O1" t="s">
        <v>591</v>
      </c>
      <c r="P1" t="s">
        <v>592</v>
      </c>
    </row>
    <row r="2" spans="1:16" x14ac:dyDescent="0.4">
      <c r="A2" t="s">
        <v>2</v>
      </c>
      <c r="C2" t="s">
        <v>431</v>
      </c>
      <c r="F2" t="str">
        <f t="shared" ref="F2:F65" si="0">TRIM(A2)</f>
        <v>秘書課</v>
      </c>
      <c r="G2" t="str">
        <f t="shared" ref="G2:G65" si="1">SUBSTITUTE(SUBSTITUTE(SUBSTITUTE(SUBSTITUTE(F2, "(", ""), ")", ""), "（", ""), "）", "")</f>
        <v>秘書課</v>
      </c>
      <c r="H2" t="b">
        <f t="shared" ref="H2:H65" si="2">IF(A2=TRIM(A2), TRUE, FALSE)</f>
        <v>0</v>
      </c>
      <c r="I2" t="str">
        <f>IF(H2,G2,I1)</f>
        <v>市長室</v>
      </c>
      <c r="M2" t="s">
        <v>432</v>
      </c>
      <c r="N2" t="s">
        <v>200</v>
      </c>
      <c r="O2" t="str">
        <f>TRIM(N2)</f>
        <v>Mayor's Office</v>
      </c>
      <c r="P2" t="s">
        <v>433</v>
      </c>
    </row>
    <row r="3" spans="1:16" x14ac:dyDescent="0.4">
      <c r="A3" t="s">
        <v>3</v>
      </c>
      <c r="C3" t="s">
        <v>202</v>
      </c>
      <c r="F3" t="str">
        <f t="shared" si="0"/>
        <v>危機管理課</v>
      </c>
      <c r="G3" t="str">
        <f t="shared" si="1"/>
        <v>危機管理課</v>
      </c>
      <c r="H3" t="b">
        <f t="shared" si="2"/>
        <v>0</v>
      </c>
      <c r="I3" t="str">
        <f t="shared" ref="I3:I66" si="3">IF(H3,G3,I2)</f>
        <v>市長室</v>
      </c>
      <c r="M3" t="s">
        <v>434</v>
      </c>
      <c r="N3" t="s">
        <v>201</v>
      </c>
      <c r="O3" t="str">
        <f t="shared" ref="O3:O66" si="4">TRIM(N3)</f>
        <v>Secretarial Division</v>
      </c>
      <c r="P3" t="s">
        <v>432</v>
      </c>
    </row>
    <row r="4" spans="1:16" x14ac:dyDescent="0.4">
      <c r="B4" t="s">
        <v>4</v>
      </c>
      <c r="C4" t="s">
        <v>203</v>
      </c>
      <c r="F4" t="str">
        <f t="shared" si="0"/>
        <v/>
      </c>
      <c r="G4" t="str">
        <f t="shared" si="1"/>
        <v/>
      </c>
      <c r="H4" t="b">
        <f t="shared" si="2"/>
        <v>1</v>
      </c>
      <c r="I4" t="str">
        <f t="shared" si="3"/>
        <v/>
      </c>
      <c r="M4" t="s">
        <v>435</v>
      </c>
      <c r="N4" t="s">
        <v>202</v>
      </c>
      <c r="O4" t="str">
        <f t="shared" si="4"/>
        <v>Crisis-Management Division</v>
      </c>
      <c r="P4" t="s">
        <v>432</v>
      </c>
    </row>
    <row r="5" spans="1:16" hidden="1" x14ac:dyDescent="0.4">
      <c r="A5" t="s">
        <v>5</v>
      </c>
      <c r="C5" t="s">
        <v>204</v>
      </c>
      <c r="F5" t="str">
        <f t="shared" si="0"/>
        <v>人権・ダイバーシティ推進課</v>
      </c>
      <c r="G5" t="str">
        <f t="shared" si="1"/>
        <v>人権・ダイバーシティ推進課</v>
      </c>
      <c r="H5" t="b">
        <f t="shared" si="2"/>
        <v>0</v>
      </c>
      <c r="I5" t="str">
        <f t="shared" si="3"/>
        <v/>
      </c>
      <c r="M5" t="s">
        <v>448</v>
      </c>
      <c r="N5" t="s">
        <v>203</v>
      </c>
      <c r="O5" t="str">
        <f t="shared" si="4"/>
        <v>Crisis-Management Chief</v>
      </c>
      <c r="P5" t="s">
        <v>448</v>
      </c>
    </row>
    <row r="6" spans="1:16" x14ac:dyDescent="0.4">
      <c r="A6" t="s">
        <v>205</v>
      </c>
      <c r="C6" t="s">
        <v>206</v>
      </c>
      <c r="F6" t="str">
        <f t="shared" si="0"/>
        <v>(市長特命参与）</v>
      </c>
      <c r="G6" t="str">
        <f t="shared" si="1"/>
        <v>市長特命参与</v>
      </c>
      <c r="H6" t="b">
        <f t="shared" si="2"/>
        <v>0</v>
      </c>
      <c r="I6" t="str">
        <f t="shared" si="3"/>
        <v/>
      </c>
      <c r="M6" t="s">
        <v>436</v>
      </c>
      <c r="N6" t="s">
        <v>204</v>
      </c>
      <c r="O6" t="str">
        <f t="shared" si="4"/>
        <v>Human Rights and Diversity Promotion Division</v>
      </c>
      <c r="P6" t="s">
        <v>448</v>
      </c>
    </row>
    <row r="7" spans="1:16" x14ac:dyDescent="0.4">
      <c r="A7" t="s">
        <v>6</v>
      </c>
      <c r="C7" t="s">
        <v>207</v>
      </c>
      <c r="F7" t="str">
        <f t="shared" si="0"/>
        <v>国際交流・基地政策課</v>
      </c>
      <c r="G7" t="str">
        <f t="shared" si="1"/>
        <v>国際交流・基地政策課</v>
      </c>
      <c r="H7" t="b">
        <f t="shared" si="2"/>
        <v>0</v>
      </c>
      <c r="I7" t="str">
        <f t="shared" si="3"/>
        <v/>
      </c>
      <c r="M7" t="s">
        <v>449</v>
      </c>
      <c r="N7" t="s">
        <v>206</v>
      </c>
      <c r="O7" t="str">
        <f t="shared" si="4"/>
        <v>Special Advisor to the Mayor, Mayor's Office</v>
      </c>
      <c r="P7" t="s">
        <v>448</v>
      </c>
    </row>
    <row r="8" spans="1:16" x14ac:dyDescent="0.4">
      <c r="B8" t="s">
        <v>130</v>
      </c>
      <c r="C8" t="s">
        <v>208</v>
      </c>
      <c r="F8" t="str">
        <f t="shared" si="0"/>
        <v/>
      </c>
      <c r="G8" t="str">
        <f t="shared" si="1"/>
        <v/>
      </c>
      <c r="H8" t="b">
        <f t="shared" si="2"/>
        <v>1</v>
      </c>
      <c r="I8" t="str">
        <f t="shared" si="3"/>
        <v/>
      </c>
      <c r="M8" t="s">
        <v>437</v>
      </c>
      <c r="N8" t="s">
        <v>207</v>
      </c>
      <c r="O8" t="str">
        <f t="shared" si="4"/>
        <v>International Relations and Military Base Policy Division</v>
      </c>
      <c r="P8" t="s">
        <v>448</v>
      </c>
    </row>
    <row r="9" spans="1:16" hidden="1" x14ac:dyDescent="0.4">
      <c r="A9" t="s">
        <v>209</v>
      </c>
      <c r="C9" t="s">
        <v>210</v>
      </c>
      <c r="F9" t="str">
        <f t="shared" si="0"/>
        <v>（横須賀市東京事務所・旧軍港市振興協議会担当課長）</v>
      </c>
      <c r="G9" t="str">
        <f t="shared" si="1"/>
        <v>横須賀市東京事務所・旧軍港市振興協議会担当課長</v>
      </c>
      <c r="H9" t="b">
        <f t="shared" si="2"/>
        <v>1</v>
      </c>
      <c r="I9" t="str">
        <f t="shared" si="3"/>
        <v>横須賀市東京事務所・旧軍港市振興協議会担当課長</v>
      </c>
      <c r="M9" t="s">
        <v>448</v>
      </c>
      <c r="N9" t="s">
        <v>208</v>
      </c>
      <c r="O9" t="str">
        <f t="shared" si="4"/>
        <v>International Relations Director</v>
      </c>
      <c r="P9" t="s">
        <v>448</v>
      </c>
    </row>
    <row r="10" spans="1:16" x14ac:dyDescent="0.4">
      <c r="A10" t="s">
        <v>181</v>
      </c>
      <c r="C10" t="s">
        <v>211</v>
      </c>
      <c r="F10" t="str">
        <f t="shared" si="0"/>
        <v>(市長特命参与 （構造改革担当部長））</v>
      </c>
      <c r="G10" t="str">
        <f t="shared" si="1"/>
        <v>市長特命参与 構造改革担当部長</v>
      </c>
      <c r="H10" t="b">
        <f t="shared" si="2"/>
        <v>0</v>
      </c>
      <c r="I10" t="str">
        <f t="shared" si="3"/>
        <v>横須賀市東京事務所・旧軍港市振興協議会担当課長</v>
      </c>
      <c r="M10" t="s">
        <v>450</v>
      </c>
      <c r="N10" t="s">
        <v>210</v>
      </c>
      <c r="O10" t="str">
        <f t="shared" si="4"/>
        <v>Yokosuka City Tokyo Office and Former Naval Base City Development
 Council Director</v>
      </c>
      <c r="P10" t="s">
        <v>450</v>
      </c>
    </row>
    <row r="11" spans="1:16" x14ac:dyDescent="0.4">
      <c r="A11" t="s">
        <v>212</v>
      </c>
      <c r="C11" t="s">
        <v>178</v>
      </c>
      <c r="F11" t="str">
        <f t="shared" si="0"/>
        <v>(市長特命参与（つなぐディレクター））</v>
      </c>
      <c r="G11" t="str">
        <f t="shared" si="1"/>
        <v>市長特命参与つなぐディレクター</v>
      </c>
      <c r="H11" t="b">
        <f t="shared" si="2"/>
        <v>0</v>
      </c>
      <c r="I11" t="str">
        <f t="shared" si="3"/>
        <v>横須賀市東京事務所・旧軍港市振興協議会担当課長</v>
      </c>
      <c r="M11" t="s">
        <v>451</v>
      </c>
      <c r="N11" t="s">
        <v>211</v>
      </c>
      <c r="O11" t="str">
        <f t="shared" si="4"/>
        <v>Special Advisor to the Mayor, Structural Reform Director-General</v>
      </c>
      <c r="P11" t="s">
        <v>450</v>
      </c>
    </row>
    <row r="12" spans="1:16" x14ac:dyDescent="0.4">
      <c r="A12" t="s">
        <v>7</v>
      </c>
      <c r="C12" t="s">
        <v>213</v>
      </c>
      <c r="F12" t="str">
        <f t="shared" si="0"/>
        <v>経営企画部</v>
      </c>
      <c r="G12" t="str">
        <f t="shared" si="1"/>
        <v>経営企画部</v>
      </c>
      <c r="H12" t="b">
        <f t="shared" si="2"/>
        <v>1</v>
      </c>
      <c r="I12" t="str">
        <f t="shared" si="3"/>
        <v>経営企画部</v>
      </c>
      <c r="M12" t="s">
        <v>452</v>
      </c>
      <c r="N12" t="s">
        <v>178</v>
      </c>
      <c r="O12" t="str">
        <f t="shared" si="4"/>
        <v>Special Advisor to the Mayor, Tsunagu Director</v>
      </c>
      <c r="P12" t="s">
        <v>450</v>
      </c>
    </row>
    <row r="13" spans="1:16" x14ac:dyDescent="0.4">
      <c r="A13" t="s">
        <v>9</v>
      </c>
      <c r="C13" t="s">
        <v>214</v>
      </c>
      <c r="F13" t="str">
        <f t="shared" si="0"/>
        <v>企画調整課</v>
      </c>
      <c r="G13" t="str">
        <f t="shared" si="1"/>
        <v>企画調整課</v>
      </c>
      <c r="H13" t="b">
        <f t="shared" si="2"/>
        <v>0</v>
      </c>
      <c r="I13" t="str">
        <f t="shared" si="3"/>
        <v>経営企画部</v>
      </c>
      <c r="M13" t="s">
        <v>438</v>
      </c>
      <c r="N13" t="s">
        <v>213</v>
      </c>
      <c r="O13" t="str">
        <f t="shared" si="4"/>
        <v>Management and Planning Department</v>
      </c>
      <c r="P13" t="s">
        <v>438</v>
      </c>
    </row>
    <row r="14" spans="1:16" x14ac:dyDescent="0.4">
      <c r="B14" t="s">
        <v>131</v>
      </c>
      <c r="C14" t="s">
        <v>215</v>
      </c>
      <c r="F14" t="str">
        <f t="shared" si="0"/>
        <v/>
      </c>
      <c r="G14" t="str">
        <f t="shared" si="1"/>
        <v/>
      </c>
      <c r="H14" t="b">
        <f t="shared" si="2"/>
        <v>1</v>
      </c>
      <c r="I14" t="str">
        <f t="shared" si="3"/>
        <v/>
      </c>
      <c r="M14" t="s">
        <v>439</v>
      </c>
      <c r="N14" t="s">
        <v>214</v>
      </c>
      <c r="O14" t="str">
        <f t="shared" si="4"/>
        <v>Planning and Coordination Division</v>
      </c>
      <c r="P14" t="s">
        <v>438</v>
      </c>
    </row>
    <row r="15" spans="1:16" hidden="1" x14ac:dyDescent="0.4">
      <c r="A15" t="s">
        <v>10</v>
      </c>
      <c r="C15" t="s">
        <v>216</v>
      </c>
      <c r="F15" t="str">
        <f t="shared" si="0"/>
        <v>都市戦略課</v>
      </c>
      <c r="G15" t="str">
        <f t="shared" si="1"/>
        <v>都市戦略課</v>
      </c>
      <c r="H15" t="b">
        <f t="shared" si="2"/>
        <v>0</v>
      </c>
      <c r="I15" t="str">
        <f t="shared" si="3"/>
        <v/>
      </c>
      <c r="M15" t="s">
        <v>448</v>
      </c>
      <c r="N15" t="s">
        <v>215</v>
      </c>
      <c r="O15" t="str">
        <f t="shared" si="4"/>
        <v>Public-Private Sector Coordination Director</v>
      </c>
      <c r="P15" t="s">
        <v>448</v>
      </c>
    </row>
    <row r="16" spans="1:16" x14ac:dyDescent="0.4">
      <c r="B16" t="s">
        <v>132</v>
      </c>
      <c r="C16" t="s">
        <v>217</v>
      </c>
      <c r="F16" t="str">
        <f t="shared" si="0"/>
        <v/>
      </c>
      <c r="G16" t="str">
        <f t="shared" si="1"/>
        <v/>
      </c>
      <c r="H16" t="b">
        <f t="shared" si="2"/>
        <v>1</v>
      </c>
      <c r="I16" t="str">
        <f t="shared" si="3"/>
        <v/>
      </c>
      <c r="M16" t="s">
        <v>440</v>
      </c>
      <c r="N16" t="s">
        <v>216</v>
      </c>
      <c r="O16" t="str">
        <f t="shared" si="4"/>
        <v>City Strategy Division</v>
      </c>
      <c r="P16" t="s">
        <v>448</v>
      </c>
    </row>
    <row r="17" spans="1:16" hidden="1" x14ac:dyDescent="0.4">
      <c r="A17" t="s">
        <v>11</v>
      </c>
      <c r="C17" t="s">
        <v>218</v>
      </c>
      <c r="F17" t="str">
        <f t="shared" si="0"/>
        <v>広報課</v>
      </c>
      <c r="G17" t="str">
        <f t="shared" si="1"/>
        <v>広報課</v>
      </c>
      <c r="H17" t="b">
        <f t="shared" si="2"/>
        <v>0</v>
      </c>
      <c r="I17" t="str">
        <f t="shared" si="3"/>
        <v/>
      </c>
      <c r="M17" t="s">
        <v>448</v>
      </c>
      <c r="N17" t="s">
        <v>217</v>
      </c>
      <c r="O17" t="str">
        <f t="shared" si="4"/>
        <v>Zero Carbon Promotion Director</v>
      </c>
      <c r="P17" t="s">
        <v>448</v>
      </c>
    </row>
    <row r="18" spans="1:16" x14ac:dyDescent="0.4">
      <c r="A18" t="s">
        <v>134</v>
      </c>
      <c r="C18" t="s">
        <v>219</v>
      </c>
      <c r="F18" t="str">
        <f t="shared" si="0"/>
        <v>（デジタル・ガバメント推進担当部長）</v>
      </c>
      <c r="G18" t="str">
        <f t="shared" si="1"/>
        <v>デジタル・ガバメント推進担当部長</v>
      </c>
      <c r="H18" t="b">
        <f t="shared" si="2"/>
        <v>1</v>
      </c>
      <c r="I18" t="str">
        <f t="shared" si="3"/>
        <v>デジタル・ガバメント推進担当部長</v>
      </c>
      <c r="M18" t="s">
        <v>441</v>
      </c>
      <c r="N18" t="s">
        <v>218</v>
      </c>
      <c r="O18" t="str">
        <f t="shared" si="4"/>
        <v>Public Affairs Division</v>
      </c>
      <c r="P18" t="s">
        <v>448</v>
      </c>
    </row>
    <row r="19" spans="1:16" x14ac:dyDescent="0.4">
      <c r="A19" t="s">
        <v>182</v>
      </c>
      <c r="C19" t="s">
        <v>220</v>
      </c>
      <c r="F19" t="str">
        <f t="shared" si="0"/>
        <v>デジタル・ガバメント推進室</v>
      </c>
      <c r="G19" t="str">
        <f t="shared" si="1"/>
        <v>デジタル・ガバメント推進室</v>
      </c>
      <c r="H19" t="b">
        <f t="shared" si="2"/>
        <v>0</v>
      </c>
      <c r="I19" t="str">
        <f t="shared" si="3"/>
        <v>デジタル・ガバメント推進担当部長</v>
      </c>
      <c r="M19" t="s">
        <v>453</v>
      </c>
      <c r="N19" t="s">
        <v>219</v>
      </c>
      <c r="O19" t="str">
        <f t="shared" si="4"/>
        <v>Digital Government Promotion Director-General</v>
      </c>
      <c r="P19" t="s">
        <v>453</v>
      </c>
    </row>
    <row r="20" spans="1:16" x14ac:dyDescent="0.4">
      <c r="A20" t="s">
        <v>133</v>
      </c>
      <c r="C20" t="s">
        <v>221</v>
      </c>
      <c r="F20" t="str">
        <f t="shared" si="0"/>
        <v>(まちづくり政策担当部長)</v>
      </c>
      <c r="G20" t="str">
        <f t="shared" si="1"/>
        <v>まちづくり政策担当部長</v>
      </c>
      <c r="H20" t="b">
        <f t="shared" si="2"/>
        <v>0</v>
      </c>
      <c r="I20" t="str">
        <f t="shared" si="3"/>
        <v>デジタル・ガバメント推進担当部長</v>
      </c>
      <c r="M20" t="s">
        <v>442</v>
      </c>
      <c r="N20" t="s">
        <v>220</v>
      </c>
      <c r="O20" t="str">
        <f t="shared" si="4"/>
        <v>Digital Government Promotion Division</v>
      </c>
      <c r="P20" t="s">
        <v>453</v>
      </c>
    </row>
    <row r="21" spans="1:16" x14ac:dyDescent="0.4">
      <c r="A21" t="s">
        <v>183</v>
      </c>
      <c r="C21" t="s">
        <v>222</v>
      </c>
      <c r="F21" t="str">
        <f t="shared" si="0"/>
        <v>まちづくり政策課</v>
      </c>
      <c r="G21" t="str">
        <f t="shared" si="1"/>
        <v>まちづくり政策課</v>
      </c>
      <c r="H21" t="b">
        <f t="shared" si="2"/>
        <v>0</v>
      </c>
      <c r="I21" t="str">
        <f t="shared" si="3"/>
        <v>デジタル・ガバメント推進担当部長</v>
      </c>
      <c r="M21" t="s">
        <v>454</v>
      </c>
      <c r="N21" t="s">
        <v>221</v>
      </c>
      <c r="O21" t="str">
        <f t="shared" si="4"/>
        <v>City Development Policy Director-General</v>
      </c>
      <c r="P21" t="s">
        <v>453</v>
      </c>
    </row>
    <row r="22" spans="1:16" x14ac:dyDescent="0.4">
      <c r="B22" t="s">
        <v>135</v>
      </c>
      <c r="C22" t="s">
        <v>223</v>
      </c>
      <c r="F22" t="str">
        <f t="shared" si="0"/>
        <v/>
      </c>
      <c r="G22" t="str">
        <f t="shared" si="1"/>
        <v/>
      </c>
      <c r="H22" t="b">
        <f t="shared" si="2"/>
        <v>1</v>
      </c>
      <c r="I22" t="str">
        <f t="shared" si="3"/>
        <v/>
      </c>
      <c r="M22" t="s">
        <v>443</v>
      </c>
      <c r="N22" t="s">
        <v>222</v>
      </c>
      <c r="O22" t="str">
        <f t="shared" si="4"/>
        <v>City Development Policy Division</v>
      </c>
      <c r="P22" t="s">
        <v>453</v>
      </c>
    </row>
    <row r="23" spans="1:16" hidden="1" x14ac:dyDescent="0.4">
      <c r="A23" t="s">
        <v>118</v>
      </c>
      <c r="C23" t="s">
        <v>224</v>
      </c>
      <c r="F23" t="str">
        <f t="shared" si="0"/>
        <v>事業用地課</v>
      </c>
      <c r="G23" t="str">
        <f t="shared" si="1"/>
        <v>事業用地課</v>
      </c>
      <c r="H23" t="b">
        <f t="shared" si="2"/>
        <v>0</v>
      </c>
      <c r="I23" t="str">
        <f t="shared" si="3"/>
        <v/>
      </c>
      <c r="M23" t="s">
        <v>448</v>
      </c>
      <c r="N23" t="s">
        <v>223</v>
      </c>
      <c r="O23" t="str">
        <f t="shared" si="4"/>
        <v>Site Development Director</v>
      </c>
      <c r="P23" t="s">
        <v>448</v>
      </c>
    </row>
    <row r="24" spans="1:16" x14ac:dyDescent="0.4">
      <c r="A24" t="s">
        <v>12</v>
      </c>
      <c r="C24" t="s">
        <v>13</v>
      </c>
      <c r="F24" t="str">
        <f t="shared" si="0"/>
        <v>総務部</v>
      </c>
      <c r="G24" t="str">
        <f t="shared" si="1"/>
        <v>総務部</v>
      </c>
      <c r="H24" t="b">
        <f t="shared" si="2"/>
        <v>1</v>
      </c>
      <c r="I24" t="str">
        <f t="shared" si="3"/>
        <v>総務部</v>
      </c>
      <c r="M24" t="s">
        <v>444</v>
      </c>
      <c r="N24" t="s">
        <v>224</v>
      </c>
      <c r="O24" t="str">
        <f t="shared" si="4"/>
        <v>Commercial Land Division</v>
      </c>
      <c r="P24" t="s">
        <v>448</v>
      </c>
    </row>
    <row r="25" spans="1:16" x14ac:dyDescent="0.4">
      <c r="A25" t="s">
        <v>225</v>
      </c>
      <c r="C25" t="s">
        <v>226</v>
      </c>
      <c r="F25" t="str">
        <f t="shared" si="0"/>
        <v>総務課</v>
      </c>
      <c r="G25" t="str">
        <f t="shared" si="1"/>
        <v>総務課</v>
      </c>
      <c r="H25" t="b">
        <f t="shared" si="2"/>
        <v>0</v>
      </c>
      <c r="I25" t="str">
        <f t="shared" si="3"/>
        <v>総務部</v>
      </c>
      <c r="M25" t="s">
        <v>445</v>
      </c>
      <c r="N25" t="s">
        <v>13</v>
      </c>
      <c r="O25" t="str">
        <f t="shared" si="4"/>
        <v>General Affairs Department</v>
      </c>
      <c r="P25" t="s">
        <v>445</v>
      </c>
    </row>
    <row r="26" spans="1:16" x14ac:dyDescent="0.4">
      <c r="B26" t="s">
        <v>227</v>
      </c>
      <c r="C26" t="s">
        <v>228</v>
      </c>
      <c r="F26" t="str">
        <f t="shared" si="0"/>
        <v/>
      </c>
      <c r="G26" t="str">
        <f t="shared" si="1"/>
        <v/>
      </c>
      <c r="H26" t="b">
        <f t="shared" si="2"/>
        <v>1</v>
      </c>
      <c r="I26" t="str">
        <f t="shared" si="3"/>
        <v/>
      </c>
      <c r="M26" t="s">
        <v>446</v>
      </c>
      <c r="N26" t="s">
        <v>226</v>
      </c>
      <c r="O26" t="str">
        <f t="shared" si="4"/>
        <v>General Affairs Division</v>
      </c>
      <c r="P26" t="s">
        <v>445</v>
      </c>
    </row>
    <row r="27" spans="1:16" hidden="1" x14ac:dyDescent="0.4">
      <c r="B27" t="s">
        <v>184</v>
      </c>
      <c r="C27" t="s">
        <v>229</v>
      </c>
      <c r="F27" t="str">
        <f t="shared" si="0"/>
        <v/>
      </c>
      <c r="G27" t="str">
        <f t="shared" si="1"/>
        <v/>
      </c>
      <c r="H27" t="b">
        <f t="shared" si="2"/>
        <v>1</v>
      </c>
      <c r="I27" t="str">
        <f t="shared" si="3"/>
        <v/>
      </c>
      <c r="M27" t="s">
        <v>448</v>
      </c>
      <c r="N27" t="s">
        <v>228</v>
      </c>
      <c r="O27" t="str">
        <f t="shared" si="4"/>
        <v>General Affairs Director</v>
      </c>
      <c r="P27" t="s">
        <v>448</v>
      </c>
    </row>
    <row r="28" spans="1:16" hidden="1" x14ac:dyDescent="0.4">
      <c r="A28" t="s">
        <v>230</v>
      </c>
      <c r="C28" t="s">
        <v>231</v>
      </c>
      <c r="F28" t="str">
        <f t="shared" si="0"/>
        <v>人事課</v>
      </c>
      <c r="G28" t="str">
        <f t="shared" si="1"/>
        <v>人事課</v>
      </c>
      <c r="H28" t="b">
        <f t="shared" si="2"/>
        <v>0</v>
      </c>
      <c r="I28" t="str">
        <f t="shared" si="3"/>
        <v/>
      </c>
      <c r="M28" t="s">
        <v>448</v>
      </c>
      <c r="N28" t="s">
        <v>229</v>
      </c>
      <c r="O28" t="str">
        <f t="shared" si="4"/>
        <v>Judicial Affairs Director</v>
      </c>
      <c r="P28" t="s">
        <v>448</v>
      </c>
    </row>
    <row r="29" spans="1:16" x14ac:dyDescent="0.4">
      <c r="B29" t="s">
        <v>136</v>
      </c>
      <c r="C29" t="s">
        <v>232</v>
      </c>
      <c r="F29" t="str">
        <f t="shared" si="0"/>
        <v/>
      </c>
      <c r="G29" t="str">
        <f t="shared" si="1"/>
        <v/>
      </c>
      <c r="H29" t="b">
        <f t="shared" si="2"/>
        <v>1</v>
      </c>
      <c r="I29" t="str">
        <f t="shared" si="3"/>
        <v/>
      </c>
      <c r="M29" t="s">
        <v>447</v>
      </c>
      <c r="N29" t="s">
        <v>231</v>
      </c>
      <c r="O29" t="str">
        <f t="shared" si="4"/>
        <v>Personnel Division</v>
      </c>
      <c r="P29" t="s">
        <v>448</v>
      </c>
    </row>
    <row r="30" spans="1:16" hidden="1" x14ac:dyDescent="0.4">
      <c r="A30" t="s">
        <v>175</v>
      </c>
      <c r="C30" t="s">
        <v>233</v>
      </c>
      <c r="F30" t="str">
        <f t="shared" si="0"/>
        <v>（会計管理者）</v>
      </c>
      <c r="G30" t="str">
        <f t="shared" si="1"/>
        <v>会計管理者</v>
      </c>
      <c r="H30" t="b">
        <f t="shared" si="2"/>
        <v>1</v>
      </c>
      <c r="I30" t="str">
        <f t="shared" si="3"/>
        <v>会計管理者</v>
      </c>
      <c r="M30" t="s">
        <v>448</v>
      </c>
      <c r="N30" t="s">
        <v>232</v>
      </c>
      <c r="O30" t="str">
        <f t="shared" si="4"/>
        <v>Human Resource Development Director</v>
      </c>
      <c r="P30" t="s">
        <v>448</v>
      </c>
    </row>
    <row r="31" spans="1:16" x14ac:dyDescent="0.4">
      <c r="A31" t="s">
        <v>14</v>
      </c>
      <c r="C31" t="s">
        <v>234</v>
      </c>
      <c r="F31" t="str">
        <f t="shared" si="0"/>
        <v>会計課</v>
      </c>
      <c r="G31" t="str">
        <f t="shared" si="1"/>
        <v>会計課</v>
      </c>
      <c r="H31" t="b">
        <f t="shared" si="2"/>
        <v>0</v>
      </c>
      <c r="I31" t="str">
        <f t="shared" si="3"/>
        <v>会計管理者</v>
      </c>
      <c r="M31" t="s">
        <v>455</v>
      </c>
      <c r="N31" t="s">
        <v>233</v>
      </c>
      <c r="O31" t="str">
        <f t="shared" si="4"/>
        <v>Accounting Administrator</v>
      </c>
      <c r="P31" t="s">
        <v>455</v>
      </c>
    </row>
    <row r="32" spans="1:16" x14ac:dyDescent="0.4">
      <c r="A32" t="s">
        <v>15</v>
      </c>
      <c r="C32" t="s">
        <v>16</v>
      </c>
      <c r="F32" t="str">
        <f t="shared" si="0"/>
        <v>財務部</v>
      </c>
      <c r="G32" t="str">
        <f t="shared" si="1"/>
        <v>財務部</v>
      </c>
      <c r="H32" t="b">
        <f t="shared" si="2"/>
        <v>1</v>
      </c>
      <c r="I32" t="str">
        <f t="shared" si="3"/>
        <v>財務部</v>
      </c>
      <c r="M32" t="s">
        <v>456</v>
      </c>
      <c r="N32" t="s">
        <v>234</v>
      </c>
      <c r="O32" t="str">
        <f t="shared" si="4"/>
        <v>Accounting Division</v>
      </c>
      <c r="P32" t="s">
        <v>455</v>
      </c>
    </row>
    <row r="33" spans="1:16" x14ac:dyDescent="0.4">
      <c r="A33" t="s">
        <v>17</v>
      </c>
      <c r="C33" t="s">
        <v>235</v>
      </c>
      <c r="F33" t="str">
        <f t="shared" si="0"/>
        <v>財務管理課</v>
      </c>
      <c r="G33" t="str">
        <f t="shared" si="1"/>
        <v>財務管理課</v>
      </c>
      <c r="H33" t="b">
        <f t="shared" si="2"/>
        <v>0</v>
      </c>
      <c r="I33" t="str">
        <f t="shared" si="3"/>
        <v>財務部</v>
      </c>
      <c r="M33" t="s">
        <v>457</v>
      </c>
      <c r="N33" t="s">
        <v>16</v>
      </c>
      <c r="O33" t="str">
        <f t="shared" si="4"/>
        <v>Finance Department</v>
      </c>
      <c r="P33" t="s">
        <v>457</v>
      </c>
    </row>
    <row r="34" spans="1:16" x14ac:dyDescent="0.4">
      <c r="A34" t="s">
        <v>18</v>
      </c>
      <c r="C34" t="s">
        <v>236</v>
      </c>
      <c r="F34" t="str">
        <f t="shared" si="0"/>
        <v>財務課</v>
      </c>
      <c r="G34" t="str">
        <f t="shared" si="1"/>
        <v>財務課</v>
      </c>
      <c r="H34" t="b">
        <f t="shared" si="2"/>
        <v>0</v>
      </c>
      <c r="I34" t="str">
        <f t="shared" si="3"/>
        <v>財務部</v>
      </c>
      <c r="M34" t="s">
        <v>458</v>
      </c>
      <c r="N34" t="s">
        <v>235</v>
      </c>
      <c r="O34" t="str">
        <f t="shared" si="4"/>
        <v>Finance Administration Division</v>
      </c>
      <c r="P34" t="s">
        <v>457</v>
      </c>
    </row>
    <row r="35" spans="1:16" x14ac:dyDescent="0.4">
      <c r="A35" t="s">
        <v>19</v>
      </c>
      <c r="C35" t="s">
        <v>237</v>
      </c>
      <c r="F35" t="str">
        <f t="shared" si="0"/>
        <v>ＦＭ推進課</v>
      </c>
      <c r="G35" t="str">
        <f t="shared" si="1"/>
        <v>ＦＭ推進課</v>
      </c>
      <c r="H35" t="b">
        <f t="shared" si="2"/>
        <v>0</v>
      </c>
      <c r="I35" t="str">
        <f t="shared" si="3"/>
        <v>財務部</v>
      </c>
      <c r="M35" t="s">
        <v>459</v>
      </c>
      <c r="N35" t="s">
        <v>236</v>
      </c>
      <c r="O35" t="str">
        <f t="shared" si="4"/>
        <v>Finance Division</v>
      </c>
      <c r="P35" t="s">
        <v>457</v>
      </c>
    </row>
    <row r="36" spans="1:16" x14ac:dyDescent="0.4">
      <c r="A36" t="s">
        <v>238</v>
      </c>
      <c r="C36" t="s">
        <v>239</v>
      </c>
      <c r="F36" t="str">
        <f t="shared" si="0"/>
        <v>契約課</v>
      </c>
      <c r="G36" t="str">
        <f t="shared" si="1"/>
        <v>契約課</v>
      </c>
      <c r="H36" t="b">
        <f t="shared" si="2"/>
        <v>0</v>
      </c>
      <c r="I36" t="str">
        <f t="shared" si="3"/>
        <v>財務部</v>
      </c>
      <c r="M36" t="s">
        <v>460</v>
      </c>
      <c r="N36" t="s">
        <v>237</v>
      </c>
      <c r="O36" t="str">
        <f t="shared" si="4"/>
        <v>Facility Management Division</v>
      </c>
      <c r="P36" t="s">
        <v>457</v>
      </c>
    </row>
    <row r="37" spans="1:16" x14ac:dyDescent="0.4">
      <c r="A37" t="s">
        <v>20</v>
      </c>
      <c r="C37" t="s">
        <v>240</v>
      </c>
      <c r="F37" t="str">
        <f t="shared" si="0"/>
        <v>文化スポーツ観光部</v>
      </c>
      <c r="G37" t="str">
        <f t="shared" si="1"/>
        <v>文化スポーツ観光部</v>
      </c>
      <c r="H37" t="b">
        <f t="shared" si="2"/>
        <v>1</v>
      </c>
      <c r="I37" t="str">
        <f t="shared" si="3"/>
        <v>文化スポーツ観光部</v>
      </c>
      <c r="M37" t="s">
        <v>461</v>
      </c>
      <c r="N37" t="s">
        <v>239</v>
      </c>
      <c r="O37" t="str">
        <f t="shared" si="4"/>
        <v>Contract Division</v>
      </c>
      <c r="P37" t="s">
        <v>457</v>
      </c>
    </row>
    <row r="38" spans="1:16" x14ac:dyDescent="0.4">
      <c r="A38" t="s">
        <v>241</v>
      </c>
      <c r="C38" t="s">
        <v>242</v>
      </c>
      <c r="F38" t="str">
        <f t="shared" si="0"/>
        <v>企画課</v>
      </c>
      <c r="G38" t="str">
        <f t="shared" si="1"/>
        <v>企画課</v>
      </c>
      <c r="H38" t="b">
        <f t="shared" si="2"/>
        <v>0</v>
      </c>
      <c r="I38" t="str">
        <f t="shared" si="3"/>
        <v>文化スポーツ観光部</v>
      </c>
      <c r="M38" t="s">
        <v>20</v>
      </c>
      <c r="N38" t="s">
        <v>240</v>
      </c>
      <c r="O38" t="str">
        <f t="shared" si="4"/>
        <v>Culture, Sports, and Tourism Department</v>
      </c>
      <c r="P38" t="s">
        <v>20</v>
      </c>
    </row>
    <row r="39" spans="1:16" x14ac:dyDescent="0.4">
      <c r="B39" t="s">
        <v>137</v>
      </c>
      <c r="C39" t="s">
        <v>138</v>
      </c>
      <c r="F39" t="str">
        <f t="shared" si="0"/>
        <v/>
      </c>
      <c r="G39" t="str">
        <f t="shared" si="1"/>
        <v/>
      </c>
      <c r="H39" t="b">
        <f t="shared" si="2"/>
        <v>1</v>
      </c>
      <c r="I39" t="str">
        <f t="shared" si="3"/>
        <v/>
      </c>
      <c r="M39" t="s">
        <v>462</v>
      </c>
      <c r="N39" t="s">
        <v>242</v>
      </c>
      <c r="O39" t="str">
        <f t="shared" si="4"/>
        <v>Culture, Sports, and Tourism Planning Division</v>
      </c>
      <c r="P39" t="s">
        <v>20</v>
      </c>
    </row>
    <row r="40" spans="1:16" hidden="1" x14ac:dyDescent="0.4">
      <c r="B40" t="s">
        <v>148</v>
      </c>
      <c r="C40" t="s">
        <v>243</v>
      </c>
      <c r="F40" t="str">
        <f t="shared" si="0"/>
        <v/>
      </c>
      <c r="G40" t="str">
        <f t="shared" si="1"/>
        <v/>
      </c>
      <c r="H40" t="b">
        <f t="shared" si="2"/>
        <v>1</v>
      </c>
      <c r="I40" t="str">
        <f t="shared" si="3"/>
        <v/>
      </c>
      <c r="M40" t="s">
        <v>448</v>
      </c>
      <c r="N40" t="s">
        <v>138</v>
      </c>
      <c r="O40" t="str">
        <f t="shared" si="4"/>
        <v>Urban Sports Promotion Director</v>
      </c>
      <c r="P40" t="s">
        <v>448</v>
      </c>
    </row>
    <row r="41" spans="1:16" hidden="1" x14ac:dyDescent="0.4">
      <c r="A41" t="s">
        <v>244</v>
      </c>
      <c r="C41" t="s">
        <v>245</v>
      </c>
      <c r="F41" t="str">
        <f t="shared" si="0"/>
        <v>文化振興課</v>
      </c>
      <c r="G41" t="str">
        <f t="shared" si="1"/>
        <v>文化振興課</v>
      </c>
      <c r="H41" t="b">
        <f t="shared" si="2"/>
        <v>0</v>
      </c>
      <c r="I41" t="str">
        <f t="shared" si="3"/>
        <v/>
      </c>
      <c r="M41" t="s">
        <v>448</v>
      </c>
      <c r="N41" t="s">
        <v>243</v>
      </c>
      <c r="O41" t="str">
        <f t="shared" si="4"/>
        <v>Entertainment Promotion Director</v>
      </c>
      <c r="P41" t="s">
        <v>448</v>
      </c>
    </row>
    <row r="42" spans="1:16" x14ac:dyDescent="0.4">
      <c r="A42" t="s">
        <v>22</v>
      </c>
      <c r="C42" t="s">
        <v>246</v>
      </c>
      <c r="F42" t="str">
        <f t="shared" si="0"/>
        <v>スポーツ振興課</v>
      </c>
      <c r="G42" t="str">
        <f t="shared" si="1"/>
        <v>スポーツ振興課</v>
      </c>
      <c r="H42" t="b">
        <f t="shared" si="2"/>
        <v>0</v>
      </c>
      <c r="I42" t="str">
        <f t="shared" si="3"/>
        <v/>
      </c>
      <c r="M42" t="s">
        <v>463</v>
      </c>
      <c r="N42" t="s">
        <v>245</v>
      </c>
      <c r="O42" t="str">
        <f t="shared" si="4"/>
        <v>Cultural Promotion Division</v>
      </c>
      <c r="P42" t="s">
        <v>448</v>
      </c>
    </row>
    <row r="43" spans="1:16" x14ac:dyDescent="0.4">
      <c r="A43" t="s">
        <v>23</v>
      </c>
      <c r="C43" t="s">
        <v>247</v>
      </c>
      <c r="F43" t="str">
        <f t="shared" si="0"/>
        <v>商業振興課</v>
      </c>
      <c r="G43" t="str">
        <f t="shared" si="1"/>
        <v>商業振興課</v>
      </c>
      <c r="H43" t="b">
        <f t="shared" si="2"/>
        <v>0</v>
      </c>
      <c r="I43" t="str">
        <f t="shared" si="3"/>
        <v/>
      </c>
      <c r="M43" t="s">
        <v>464</v>
      </c>
      <c r="N43" t="s">
        <v>246</v>
      </c>
      <c r="O43" t="str">
        <f t="shared" si="4"/>
        <v>Sports Promotion Division</v>
      </c>
      <c r="P43" t="s">
        <v>448</v>
      </c>
    </row>
    <row r="44" spans="1:16" x14ac:dyDescent="0.4">
      <c r="A44" t="s">
        <v>24</v>
      </c>
      <c r="C44" t="s">
        <v>248</v>
      </c>
      <c r="F44" t="str">
        <f t="shared" si="0"/>
        <v>観光課</v>
      </c>
      <c r="G44" t="str">
        <f t="shared" si="1"/>
        <v>観光課</v>
      </c>
      <c r="H44" t="b">
        <f t="shared" si="2"/>
        <v>0</v>
      </c>
      <c r="I44" t="str">
        <f t="shared" si="3"/>
        <v/>
      </c>
      <c r="M44" t="s">
        <v>465</v>
      </c>
      <c r="N44" t="s">
        <v>247</v>
      </c>
      <c r="O44" t="str">
        <f t="shared" si="4"/>
        <v>Commerce Promotion Division</v>
      </c>
      <c r="P44" t="s">
        <v>448</v>
      </c>
    </row>
    <row r="45" spans="1:16" x14ac:dyDescent="0.4">
      <c r="B45" t="s">
        <v>149</v>
      </c>
      <c r="C45" t="s">
        <v>249</v>
      </c>
      <c r="F45" t="str">
        <f t="shared" si="0"/>
        <v/>
      </c>
      <c r="G45" t="str">
        <f t="shared" si="1"/>
        <v/>
      </c>
      <c r="H45" t="b">
        <f t="shared" si="2"/>
        <v>1</v>
      </c>
      <c r="I45" t="str">
        <f t="shared" si="3"/>
        <v/>
      </c>
      <c r="M45" t="s">
        <v>466</v>
      </c>
      <c r="N45" t="s">
        <v>248</v>
      </c>
      <c r="O45" t="str">
        <f t="shared" si="4"/>
        <v>Tourism Division</v>
      </c>
      <c r="P45" t="s">
        <v>448</v>
      </c>
    </row>
    <row r="46" spans="1:16" hidden="1" x14ac:dyDescent="0.4">
      <c r="A46" t="s">
        <v>25</v>
      </c>
      <c r="C46" t="s">
        <v>250</v>
      </c>
      <c r="F46" t="str">
        <f t="shared" si="0"/>
        <v>美術館運営課</v>
      </c>
      <c r="G46" t="str">
        <f t="shared" si="1"/>
        <v>美術館運営課</v>
      </c>
      <c r="H46" t="b">
        <f t="shared" si="2"/>
        <v>0</v>
      </c>
      <c r="I46" t="str">
        <f t="shared" si="3"/>
        <v/>
      </c>
      <c r="M46" t="s">
        <v>448</v>
      </c>
      <c r="N46" t="s">
        <v>249</v>
      </c>
      <c r="O46" t="str">
        <f t="shared" si="4"/>
        <v>City Promotion Director</v>
      </c>
      <c r="P46" t="s">
        <v>448</v>
      </c>
    </row>
    <row r="47" spans="1:16" x14ac:dyDescent="0.4">
      <c r="B47" t="s">
        <v>176</v>
      </c>
      <c r="C47" t="s">
        <v>179</v>
      </c>
      <c r="F47" t="str">
        <f t="shared" si="0"/>
        <v/>
      </c>
      <c r="G47" t="str">
        <f t="shared" si="1"/>
        <v/>
      </c>
      <c r="H47" t="b">
        <f t="shared" si="2"/>
        <v>1</v>
      </c>
      <c r="I47" t="str">
        <f t="shared" si="3"/>
        <v/>
      </c>
      <c r="M47" t="s">
        <v>467</v>
      </c>
      <c r="N47" t="s">
        <v>250</v>
      </c>
      <c r="O47" t="str">
        <f t="shared" si="4"/>
        <v>Museum of Art Management Division</v>
      </c>
      <c r="P47" t="s">
        <v>448</v>
      </c>
    </row>
    <row r="48" spans="1:16" hidden="1" x14ac:dyDescent="0.4">
      <c r="A48" t="s">
        <v>26</v>
      </c>
      <c r="C48" t="s">
        <v>251</v>
      </c>
      <c r="F48" t="str">
        <f t="shared" si="0"/>
        <v>税務部</v>
      </c>
      <c r="G48" t="str">
        <f t="shared" si="1"/>
        <v>税務部</v>
      </c>
      <c r="H48" t="b">
        <f t="shared" si="2"/>
        <v>1</v>
      </c>
      <c r="I48" t="str">
        <f t="shared" si="3"/>
        <v>税務部</v>
      </c>
      <c r="M48" t="s">
        <v>448</v>
      </c>
      <c r="N48" t="s">
        <v>179</v>
      </c>
      <c r="O48" t="str">
        <f t="shared" si="4"/>
        <v>Curatorial Director</v>
      </c>
      <c r="P48" t="s">
        <v>448</v>
      </c>
    </row>
    <row r="49" spans="1:16" x14ac:dyDescent="0.4">
      <c r="A49" t="s">
        <v>28</v>
      </c>
      <c r="C49" t="s">
        <v>252</v>
      </c>
      <c r="F49" t="str">
        <f t="shared" si="0"/>
        <v>税制課</v>
      </c>
      <c r="G49" t="str">
        <f t="shared" si="1"/>
        <v>税制課</v>
      </c>
      <c r="H49" t="b">
        <f t="shared" si="2"/>
        <v>0</v>
      </c>
      <c r="I49" t="str">
        <f t="shared" si="3"/>
        <v>税務部</v>
      </c>
      <c r="M49" t="s">
        <v>468</v>
      </c>
      <c r="N49" t="s">
        <v>251</v>
      </c>
      <c r="O49" t="str">
        <f t="shared" si="4"/>
        <v>Tax Department</v>
      </c>
      <c r="P49" t="s">
        <v>468</v>
      </c>
    </row>
    <row r="50" spans="1:16" x14ac:dyDescent="0.4">
      <c r="A50" t="s">
        <v>253</v>
      </c>
      <c r="C50" t="s">
        <v>254</v>
      </c>
      <c r="F50" t="str">
        <f t="shared" si="0"/>
        <v>納税課</v>
      </c>
      <c r="G50" t="str">
        <f t="shared" si="1"/>
        <v>納税課</v>
      </c>
      <c r="H50" t="b">
        <f t="shared" si="2"/>
        <v>0</v>
      </c>
      <c r="I50" t="str">
        <f t="shared" si="3"/>
        <v>税務部</v>
      </c>
      <c r="M50" t="s">
        <v>469</v>
      </c>
      <c r="N50" t="s">
        <v>252</v>
      </c>
      <c r="O50" t="str">
        <f t="shared" si="4"/>
        <v>Tax System Division</v>
      </c>
      <c r="P50" t="s">
        <v>468</v>
      </c>
    </row>
    <row r="51" spans="1:16" x14ac:dyDescent="0.4">
      <c r="A51" t="s">
        <v>255</v>
      </c>
      <c r="C51" t="s">
        <v>256</v>
      </c>
      <c r="F51" t="str">
        <f t="shared" si="0"/>
        <v>市民税課</v>
      </c>
      <c r="G51" t="str">
        <f t="shared" si="1"/>
        <v>市民税課</v>
      </c>
      <c r="H51" t="b">
        <f t="shared" si="2"/>
        <v>0</v>
      </c>
      <c r="I51" t="str">
        <f t="shared" si="3"/>
        <v>税務部</v>
      </c>
      <c r="M51" t="s">
        <v>470</v>
      </c>
      <c r="N51" t="s">
        <v>254</v>
      </c>
      <c r="O51" t="str">
        <f t="shared" si="4"/>
        <v>Tax Collection Division</v>
      </c>
      <c r="P51" t="s">
        <v>468</v>
      </c>
    </row>
    <row r="52" spans="1:16" x14ac:dyDescent="0.4">
      <c r="A52" t="s">
        <v>257</v>
      </c>
      <c r="C52" t="s">
        <v>258</v>
      </c>
      <c r="F52" t="str">
        <f t="shared" si="0"/>
        <v>資産税課</v>
      </c>
      <c r="G52" t="str">
        <f t="shared" si="1"/>
        <v>資産税課</v>
      </c>
      <c r="H52" t="b">
        <f t="shared" si="2"/>
        <v>0</v>
      </c>
      <c r="I52" t="str">
        <f t="shared" si="3"/>
        <v>税務部</v>
      </c>
      <c r="M52" t="s">
        <v>471</v>
      </c>
      <c r="N52" t="s">
        <v>256</v>
      </c>
      <c r="O52" t="str">
        <f t="shared" si="4"/>
        <v>Municipal Tax Division</v>
      </c>
      <c r="P52" t="s">
        <v>468</v>
      </c>
    </row>
    <row r="53" spans="1:16" x14ac:dyDescent="0.4">
      <c r="A53" t="s">
        <v>33</v>
      </c>
      <c r="C53" t="s">
        <v>259</v>
      </c>
      <c r="F53" t="str">
        <f t="shared" si="0"/>
        <v>民生局</v>
      </c>
      <c r="G53" t="str">
        <f t="shared" si="1"/>
        <v>民生局</v>
      </c>
      <c r="H53" t="b">
        <f t="shared" si="2"/>
        <v>1</v>
      </c>
      <c r="I53" t="str">
        <f t="shared" si="3"/>
        <v>民生局</v>
      </c>
      <c r="M53" t="s">
        <v>472</v>
      </c>
      <c r="N53" t="s">
        <v>258</v>
      </c>
      <c r="O53" t="str">
        <f t="shared" si="4"/>
        <v>Fixed Property Tax Division</v>
      </c>
      <c r="P53" t="s">
        <v>468</v>
      </c>
    </row>
    <row r="54" spans="1:16" x14ac:dyDescent="0.4">
      <c r="A54" t="s">
        <v>35</v>
      </c>
      <c r="C54" t="s">
        <v>260</v>
      </c>
      <c r="F54" t="str">
        <f t="shared" si="0"/>
        <v>福祉こども部</v>
      </c>
      <c r="G54" t="str">
        <f t="shared" si="1"/>
        <v>福祉こども部</v>
      </c>
      <c r="H54" t="b">
        <f t="shared" si="2"/>
        <v>0</v>
      </c>
      <c r="I54" t="str">
        <f t="shared" si="3"/>
        <v>民生局</v>
      </c>
      <c r="M54" t="s">
        <v>473</v>
      </c>
      <c r="N54" t="s">
        <v>259</v>
      </c>
      <c r="O54" t="str">
        <f t="shared" si="4"/>
        <v>Citizen's Health and Welfare Bureau</v>
      </c>
      <c r="P54" t="s">
        <v>473</v>
      </c>
    </row>
    <row r="55" spans="1:16" x14ac:dyDescent="0.4">
      <c r="A55" t="s">
        <v>261</v>
      </c>
      <c r="C55" t="s">
        <v>262</v>
      </c>
      <c r="F55" t="str">
        <f t="shared" si="0"/>
        <v>福祉総務課</v>
      </c>
      <c r="G55" t="str">
        <f t="shared" si="1"/>
        <v>福祉総務課</v>
      </c>
      <c r="H55" t="b">
        <f t="shared" si="2"/>
        <v>0</v>
      </c>
      <c r="I55" t="str">
        <f t="shared" si="3"/>
        <v>民生局</v>
      </c>
      <c r="M55" t="s">
        <v>474</v>
      </c>
      <c r="N55" t="s">
        <v>260</v>
      </c>
      <c r="O55" t="str">
        <f t="shared" si="4"/>
        <v>Welfare and Children's Services Department</v>
      </c>
      <c r="P55" t="s">
        <v>473</v>
      </c>
    </row>
    <row r="56" spans="1:16" x14ac:dyDescent="0.4">
      <c r="B56" t="s">
        <v>197</v>
      </c>
      <c r="C56" t="s">
        <v>198</v>
      </c>
      <c r="F56" t="str">
        <f t="shared" si="0"/>
        <v/>
      </c>
      <c r="G56" t="str">
        <f t="shared" si="1"/>
        <v/>
      </c>
      <c r="H56" t="b">
        <f t="shared" si="2"/>
        <v>1</v>
      </c>
      <c r="I56" t="str">
        <f t="shared" si="3"/>
        <v/>
      </c>
      <c r="M56" t="s">
        <v>475</v>
      </c>
      <c r="N56" t="s">
        <v>262</v>
      </c>
      <c r="O56" t="str">
        <f t="shared" si="4"/>
        <v>Welfare General Affairs Division</v>
      </c>
      <c r="P56" t="s">
        <v>473</v>
      </c>
    </row>
    <row r="57" spans="1:16" hidden="1" x14ac:dyDescent="0.4">
      <c r="A57" t="s">
        <v>36</v>
      </c>
      <c r="C57" t="s">
        <v>263</v>
      </c>
      <c r="F57" t="str">
        <f t="shared" si="0"/>
        <v>地域福祉課</v>
      </c>
      <c r="G57" t="str">
        <f t="shared" si="1"/>
        <v>地域福祉課</v>
      </c>
      <c r="H57" t="b">
        <f t="shared" si="2"/>
        <v>0</v>
      </c>
      <c r="I57" t="str">
        <f t="shared" si="3"/>
        <v/>
      </c>
      <c r="M57" t="s">
        <v>448</v>
      </c>
      <c r="N57" t="s">
        <v>198</v>
      </c>
      <c r="O57" t="str">
        <f t="shared" si="4"/>
        <v>System Standardization and Transition Director</v>
      </c>
      <c r="P57" t="s">
        <v>448</v>
      </c>
    </row>
    <row r="58" spans="1:16" x14ac:dyDescent="0.4">
      <c r="A58" t="s">
        <v>37</v>
      </c>
      <c r="C58" t="s">
        <v>264</v>
      </c>
      <c r="F58" t="str">
        <f t="shared" si="0"/>
        <v>指導監査課</v>
      </c>
      <c r="G58" t="str">
        <f t="shared" si="1"/>
        <v>指導監査課</v>
      </c>
      <c r="H58" t="b">
        <f t="shared" si="2"/>
        <v>0</v>
      </c>
      <c r="I58" t="str">
        <f t="shared" si="3"/>
        <v/>
      </c>
      <c r="M58" t="s">
        <v>476</v>
      </c>
      <c r="N58" t="s">
        <v>263</v>
      </c>
      <c r="O58" t="str">
        <f t="shared" si="4"/>
        <v>Community-Based Welfare Division</v>
      </c>
      <c r="P58" t="s">
        <v>448</v>
      </c>
    </row>
    <row r="59" spans="1:16" x14ac:dyDescent="0.4">
      <c r="A59" t="s">
        <v>265</v>
      </c>
      <c r="C59" t="s">
        <v>266</v>
      </c>
      <c r="F59" t="str">
        <f t="shared" si="0"/>
        <v>障害福祉課</v>
      </c>
      <c r="G59" t="str">
        <f t="shared" si="1"/>
        <v>障害福祉課</v>
      </c>
      <c r="H59" t="b">
        <f t="shared" si="2"/>
        <v>0</v>
      </c>
      <c r="I59" t="str">
        <f t="shared" si="3"/>
        <v/>
      </c>
      <c r="M59" t="s">
        <v>477</v>
      </c>
      <c r="N59" t="s">
        <v>264</v>
      </c>
      <c r="O59" t="str">
        <f t="shared" si="4"/>
        <v>Guidance and Inspection Division</v>
      </c>
      <c r="P59" t="s">
        <v>448</v>
      </c>
    </row>
    <row r="60" spans="1:16" x14ac:dyDescent="0.4">
      <c r="A60" t="s">
        <v>267</v>
      </c>
      <c r="B60" t="s">
        <v>39</v>
      </c>
      <c r="C60" t="s">
        <v>268</v>
      </c>
      <c r="F60" t="str">
        <f t="shared" si="0"/>
        <v/>
      </c>
      <c r="G60" t="str">
        <f t="shared" si="1"/>
        <v/>
      </c>
      <c r="H60" t="b">
        <f t="shared" si="2"/>
        <v>0</v>
      </c>
      <c r="I60" t="str">
        <f t="shared" si="3"/>
        <v/>
      </c>
      <c r="M60" t="s">
        <v>478</v>
      </c>
      <c r="N60" t="s">
        <v>266</v>
      </c>
      <c r="O60" t="str">
        <f t="shared" si="4"/>
        <v>Disability Welfare Division</v>
      </c>
      <c r="P60" t="s">
        <v>448</v>
      </c>
    </row>
    <row r="61" spans="1:16" hidden="1" x14ac:dyDescent="0.4">
      <c r="A61" t="s">
        <v>40</v>
      </c>
      <c r="C61" t="s">
        <v>269</v>
      </c>
      <c r="F61" t="str">
        <f t="shared" si="0"/>
        <v>生活支援課</v>
      </c>
      <c r="G61" t="str">
        <f t="shared" si="1"/>
        <v>生活支援課</v>
      </c>
      <c r="H61" t="b">
        <f t="shared" si="2"/>
        <v>0</v>
      </c>
      <c r="I61" t="str">
        <f t="shared" si="3"/>
        <v/>
      </c>
      <c r="M61" t="s">
        <v>448</v>
      </c>
      <c r="N61" t="s">
        <v>268</v>
      </c>
      <c r="O61" t="str">
        <f t="shared" si="4"/>
        <v>Braille Library</v>
      </c>
      <c r="P61" t="s">
        <v>448</v>
      </c>
    </row>
    <row r="62" spans="1:16" x14ac:dyDescent="0.4">
      <c r="A62" t="s">
        <v>267</v>
      </c>
      <c r="B62" t="s">
        <v>192</v>
      </c>
      <c r="C62" t="s">
        <v>270</v>
      </c>
      <c r="F62" t="str">
        <f t="shared" si="0"/>
        <v/>
      </c>
      <c r="G62" t="str">
        <f t="shared" si="1"/>
        <v/>
      </c>
      <c r="H62" t="b">
        <f t="shared" si="2"/>
        <v>0</v>
      </c>
      <c r="I62" t="str">
        <f t="shared" si="3"/>
        <v/>
      </c>
      <c r="M62" t="s">
        <v>479</v>
      </c>
      <c r="N62" t="s">
        <v>269</v>
      </c>
      <c r="O62" t="str">
        <f t="shared" si="4"/>
        <v>Livelihood Support Division</v>
      </c>
      <c r="P62" t="s">
        <v>448</v>
      </c>
    </row>
    <row r="63" spans="1:16" hidden="1" x14ac:dyDescent="0.4">
      <c r="A63" t="s">
        <v>41</v>
      </c>
      <c r="C63" t="s">
        <v>271</v>
      </c>
      <c r="F63" t="str">
        <f t="shared" si="0"/>
        <v>介護保険課</v>
      </c>
      <c r="G63" t="str">
        <f t="shared" si="1"/>
        <v>介護保険課</v>
      </c>
      <c r="H63" t="b">
        <f t="shared" si="2"/>
        <v>0</v>
      </c>
      <c r="I63" t="str">
        <f t="shared" si="3"/>
        <v/>
      </c>
      <c r="M63" t="s">
        <v>448</v>
      </c>
      <c r="N63" t="s">
        <v>270</v>
      </c>
      <c r="O63" t="str">
        <f t="shared" si="4"/>
        <v>Protective Custody Director</v>
      </c>
      <c r="P63" t="s">
        <v>448</v>
      </c>
    </row>
    <row r="64" spans="1:16" x14ac:dyDescent="0.4">
      <c r="A64" t="s">
        <v>42</v>
      </c>
      <c r="C64" t="s">
        <v>272</v>
      </c>
      <c r="F64" t="str">
        <f t="shared" si="0"/>
        <v>子育て支援課</v>
      </c>
      <c r="G64" t="str">
        <f t="shared" si="1"/>
        <v>子育て支援課</v>
      </c>
      <c r="H64" t="b">
        <f t="shared" si="2"/>
        <v>0</v>
      </c>
      <c r="I64" t="str">
        <f t="shared" si="3"/>
        <v/>
      </c>
      <c r="M64" t="s">
        <v>480</v>
      </c>
      <c r="N64" t="s">
        <v>271</v>
      </c>
      <c r="O64" t="str">
        <f t="shared" si="4"/>
        <v>Nursing Insurance Division</v>
      </c>
      <c r="P64" t="s">
        <v>448</v>
      </c>
    </row>
    <row r="65" spans="1:16" x14ac:dyDescent="0.4">
      <c r="B65" t="s">
        <v>151</v>
      </c>
      <c r="C65" t="s">
        <v>152</v>
      </c>
      <c r="F65" t="str">
        <f t="shared" si="0"/>
        <v/>
      </c>
      <c r="G65" t="str">
        <f t="shared" si="1"/>
        <v/>
      </c>
      <c r="H65" t="b">
        <f t="shared" si="2"/>
        <v>1</v>
      </c>
      <c r="I65" t="str">
        <f t="shared" si="3"/>
        <v/>
      </c>
      <c r="M65" t="s">
        <v>481</v>
      </c>
      <c r="N65" t="s">
        <v>272</v>
      </c>
      <c r="O65" t="str">
        <f t="shared" si="4"/>
        <v>Childcare Support Division</v>
      </c>
      <c r="P65" t="s">
        <v>448</v>
      </c>
    </row>
    <row r="66" spans="1:16" hidden="1" x14ac:dyDescent="0.4">
      <c r="B66" t="s">
        <v>193</v>
      </c>
      <c r="C66" t="s">
        <v>273</v>
      </c>
      <c r="F66" t="str">
        <f t="shared" ref="F66:F129" si="5">TRIM(A66)</f>
        <v/>
      </c>
      <c r="G66" t="str">
        <f t="shared" ref="G66:G129" si="6">SUBSTITUTE(SUBSTITUTE(SUBSTITUTE(SUBSTITUTE(F66, "(", ""), ")", ""), "（", ""), "）", "")</f>
        <v/>
      </c>
      <c r="H66" t="b">
        <f t="shared" ref="H66:H129" si="7">IF(A66=TRIM(A66), TRUE, FALSE)</f>
        <v>1</v>
      </c>
      <c r="I66" t="str">
        <f t="shared" si="3"/>
        <v/>
      </c>
      <c r="M66" t="s">
        <v>448</v>
      </c>
      <c r="N66" t="s">
        <v>152</v>
      </c>
      <c r="O66" t="str">
        <f t="shared" si="4"/>
        <v>Nursery School</v>
      </c>
      <c r="P66" t="s">
        <v>448</v>
      </c>
    </row>
    <row r="67" spans="1:16" hidden="1" x14ac:dyDescent="0.4">
      <c r="B67" t="s">
        <v>139</v>
      </c>
      <c r="C67" t="s">
        <v>274</v>
      </c>
      <c r="F67" t="str">
        <f t="shared" si="5"/>
        <v/>
      </c>
      <c r="G67" t="str">
        <f t="shared" si="6"/>
        <v/>
      </c>
      <c r="H67" t="b">
        <f t="shared" si="7"/>
        <v>1</v>
      </c>
      <c r="I67" t="str">
        <f t="shared" ref="I67:I130" si="8">IF(H67,G67,I66)</f>
        <v/>
      </c>
      <c r="M67" t="s">
        <v>448</v>
      </c>
      <c r="N67" t="s">
        <v>273</v>
      </c>
      <c r="O67" t="str">
        <f t="shared" ref="O67:O130" si="9">TRIM(N67)</f>
        <v>Public Nursery School Reorganization Director</v>
      </c>
      <c r="P67" t="s">
        <v>448</v>
      </c>
    </row>
    <row r="68" spans="1:16" hidden="1" x14ac:dyDescent="0.4">
      <c r="A68" t="s">
        <v>43</v>
      </c>
      <c r="C68" t="s">
        <v>275</v>
      </c>
      <c r="F68" t="str">
        <f t="shared" si="5"/>
        <v>地域支援部</v>
      </c>
      <c r="G68" t="str">
        <f t="shared" si="6"/>
        <v>地域支援部</v>
      </c>
      <c r="H68" t="b">
        <f t="shared" si="7"/>
        <v>0</v>
      </c>
      <c r="I68" t="str">
        <f t="shared" si="8"/>
        <v/>
      </c>
      <c r="M68" t="s">
        <v>448</v>
      </c>
      <c r="N68" t="s">
        <v>274</v>
      </c>
      <c r="O68" t="str">
        <f t="shared" si="9"/>
        <v>After-school Daycare Policy Director</v>
      </c>
      <c r="P68" t="s">
        <v>448</v>
      </c>
    </row>
    <row r="69" spans="1:16" x14ac:dyDescent="0.4">
      <c r="A69" t="s">
        <v>276</v>
      </c>
      <c r="C69" t="s">
        <v>277</v>
      </c>
      <c r="F69" t="str">
        <f t="shared" si="5"/>
        <v>市民生活課</v>
      </c>
      <c r="G69" t="str">
        <f t="shared" si="6"/>
        <v>市民生活課</v>
      </c>
      <c r="H69" t="b">
        <f t="shared" si="7"/>
        <v>0</v>
      </c>
      <c r="I69" t="str">
        <f t="shared" si="8"/>
        <v/>
      </c>
      <c r="M69" t="s">
        <v>482</v>
      </c>
      <c r="N69" t="s">
        <v>275</v>
      </c>
      <c r="O69" t="str">
        <f t="shared" si="9"/>
        <v>Regional Support Department</v>
      </c>
      <c r="P69" t="s">
        <v>448</v>
      </c>
    </row>
    <row r="70" spans="1:16" x14ac:dyDescent="0.4">
      <c r="A70" t="s">
        <v>119</v>
      </c>
      <c r="C70" t="s">
        <v>199</v>
      </c>
      <c r="F70" t="str">
        <f t="shared" si="5"/>
        <v>市民相談室</v>
      </c>
      <c r="G70" t="str">
        <f t="shared" si="6"/>
        <v>市民相談室</v>
      </c>
      <c r="H70" t="b">
        <f t="shared" si="7"/>
        <v>0</v>
      </c>
      <c r="I70" t="str">
        <f t="shared" si="8"/>
        <v/>
      </c>
      <c r="M70" t="s">
        <v>483</v>
      </c>
      <c r="N70" t="s">
        <v>277</v>
      </c>
      <c r="O70" t="str">
        <f t="shared" si="9"/>
        <v>Civic Life Division</v>
      </c>
      <c r="P70" t="s">
        <v>448</v>
      </c>
    </row>
    <row r="71" spans="1:16" x14ac:dyDescent="0.4">
      <c r="B71" t="s">
        <v>186</v>
      </c>
      <c r="C71" t="s">
        <v>278</v>
      </c>
      <c r="F71" t="str">
        <f t="shared" si="5"/>
        <v/>
      </c>
      <c r="G71" t="str">
        <f t="shared" si="6"/>
        <v/>
      </c>
      <c r="H71" t="b">
        <f t="shared" si="7"/>
        <v>1</v>
      </c>
      <c r="I71" t="str">
        <f t="shared" si="8"/>
        <v/>
      </c>
      <c r="M71" t="s">
        <v>484</v>
      </c>
      <c r="N71" t="s">
        <v>199</v>
      </c>
      <c r="O71" t="str">
        <f t="shared" si="9"/>
        <v>Resident Consultations</v>
      </c>
      <c r="P71" t="s">
        <v>448</v>
      </c>
    </row>
    <row r="72" spans="1:16" hidden="1" x14ac:dyDescent="0.4">
      <c r="A72" t="s">
        <v>279</v>
      </c>
      <c r="C72" t="s">
        <v>280</v>
      </c>
      <c r="F72" t="str">
        <f t="shared" si="5"/>
        <v>地域コミュニティ支援課</v>
      </c>
      <c r="G72" t="str">
        <f t="shared" si="6"/>
        <v>地域コミュニティ支援課</v>
      </c>
      <c r="H72" t="b">
        <f t="shared" si="7"/>
        <v>0</v>
      </c>
      <c r="I72" t="str">
        <f t="shared" si="8"/>
        <v/>
      </c>
      <c r="M72" t="s">
        <v>448</v>
      </c>
      <c r="N72" t="s">
        <v>278</v>
      </c>
      <c r="O72" t="str">
        <f t="shared" si="9"/>
        <v>Consumer Affairs Center</v>
      </c>
      <c r="P72" t="s">
        <v>448</v>
      </c>
    </row>
    <row r="73" spans="1:16" x14ac:dyDescent="0.4">
      <c r="B73" t="s">
        <v>185</v>
      </c>
      <c r="C73" t="s">
        <v>281</v>
      </c>
      <c r="F73" t="str">
        <f t="shared" si="5"/>
        <v/>
      </c>
      <c r="G73" t="str">
        <f t="shared" si="6"/>
        <v/>
      </c>
      <c r="H73" t="b">
        <f t="shared" si="7"/>
        <v>1</v>
      </c>
      <c r="I73" t="str">
        <f t="shared" si="8"/>
        <v/>
      </c>
      <c r="M73" t="s">
        <v>485</v>
      </c>
      <c r="N73" t="s">
        <v>280</v>
      </c>
      <c r="O73" t="str">
        <f t="shared" si="9"/>
        <v>Local Communities Support Division</v>
      </c>
      <c r="P73" t="s">
        <v>448</v>
      </c>
    </row>
    <row r="74" spans="1:16" hidden="1" x14ac:dyDescent="0.4">
      <c r="A74" t="s">
        <v>282</v>
      </c>
      <c r="C74" t="s">
        <v>283</v>
      </c>
      <c r="F74" t="str">
        <f t="shared" si="5"/>
        <v>窓口サービス課</v>
      </c>
      <c r="G74" t="str">
        <f t="shared" si="6"/>
        <v>窓口サービス課</v>
      </c>
      <c r="H74" t="b">
        <f t="shared" si="7"/>
        <v>0</v>
      </c>
      <c r="I74" t="str">
        <f t="shared" si="8"/>
        <v/>
      </c>
      <c r="M74" t="s">
        <v>448</v>
      </c>
      <c r="N74" t="s">
        <v>281</v>
      </c>
      <c r="O74" t="str">
        <f t="shared" si="9"/>
        <v>Administration Center Reform Director</v>
      </c>
      <c r="P74" t="s">
        <v>448</v>
      </c>
    </row>
    <row r="75" spans="1:16" x14ac:dyDescent="0.4">
      <c r="B75" t="s">
        <v>44</v>
      </c>
      <c r="C75" t="s">
        <v>284</v>
      </c>
      <c r="F75" t="str">
        <f t="shared" si="5"/>
        <v/>
      </c>
      <c r="G75" t="str">
        <f t="shared" si="6"/>
        <v/>
      </c>
      <c r="H75" t="b">
        <f t="shared" si="7"/>
        <v>1</v>
      </c>
      <c r="I75" t="str">
        <f t="shared" si="8"/>
        <v/>
      </c>
      <c r="M75" t="s">
        <v>486</v>
      </c>
      <c r="N75" t="s">
        <v>283</v>
      </c>
      <c r="O75" t="str">
        <f t="shared" si="9"/>
        <v>Counter Service Division</v>
      </c>
      <c r="P75" t="s">
        <v>448</v>
      </c>
    </row>
    <row r="76" spans="1:16" hidden="1" x14ac:dyDescent="0.4">
      <c r="A76" t="s">
        <v>285</v>
      </c>
      <c r="C76" t="s">
        <v>286</v>
      </c>
      <c r="F76" t="str">
        <f t="shared" si="5"/>
        <v>追浜行政センター</v>
      </c>
      <c r="G76" t="str">
        <f t="shared" si="6"/>
        <v>追浜行政センター</v>
      </c>
      <c r="H76" t="b">
        <f t="shared" si="7"/>
        <v>0</v>
      </c>
      <c r="I76" t="str">
        <f t="shared" si="8"/>
        <v/>
      </c>
      <c r="M76" t="s">
        <v>448</v>
      </c>
      <c r="N76" t="s">
        <v>284</v>
      </c>
      <c r="O76" t="str">
        <f t="shared" si="9"/>
        <v>Chuo Public Service Center</v>
      </c>
      <c r="P76" t="s">
        <v>448</v>
      </c>
    </row>
    <row r="77" spans="1:16" x14ac:dyDescent="0.4">
      <c r="A77" t="s">
        <v>287</v>
      </c>
      <c r="C77" t="s">
        <v>288</v>
      </c>
      <c r="F77" t="str">
        <f t="shared" si="5"/>
        <v>田浦行政センター</v>
      </c>
      <c r="G77" t="str">
        <f t="shared" si="6"/>
        <v>田浦行政センター</v>
      </c>
      <c r="H77" t="b">
        <f t="shared" si="7"/>
        <v>0</v>
      </c>
      <c r="I77" t="str">
        <f t="shared" si="8"/>
        <v/>
      </c>
      <c r="M77" t="s">
        <v>487</v>
      </c>
      <c r="N77" t="s">
        <v>286</v>
      </c>
      <c r="O77" t="str">
        <f t="shared" si="9"/>
        <v>Oppama Administration Center</v>
      </c>
      <c r="P77" t="s">
        <v>448</v>
      </c>
    </row>
    <row r="78" spans="1:16" x14ac:dyDescent="0.4">
      <c r="A78" t="s">
        <v>289</v>
      </c>
      <c r="C78" t="s">
        <v>290</v>
      </c>
      <c r="F78" t="str">
        <f t="shared" si="5"/>
        <v>逸見行政センター</v>
      </c>
      <c r="G78" t="str">
        <f t="shared" si="6"/>
        <v>逸見行政センター</v>
      </c>
      <c r="H78" t="b">
        <f t="shared" si="7"/>
        <v>0</v>
      </c>
      <c r="I78" t="str">
        <f t="shared" si="8"/>
        <v/>
      </c>
      <c r="M78" t="s">
        <v>488</v>
      </c>
      <c r="N78" t="s">
        <v>288</v>
      </c>
      <c r="O78" t="str">
        <f t="shared" si="9"/>
        <v>Taura Administration Center</v>
      </c>
      <c r="P78" t="s">
        <v>448</v>
      </c>
    </row>
    <row r="79" spans="1:16" x14ac:dyDescent="0.4">
      <c r="A79" t="s">
        <v>291</v>
      </c>
      <c r="C79" t="s">
        <v>292</v>
      </c>
      <c r="F79" t="str">
        <f t="shared" si="5"/>
        <v>衣笠行政センター</v>
      </c>
      <c r="G79" t="str">
        <f t="shared" si="6"/>
        <v>衣笠行政センター</v>
      </c>
      <c r="H79" t="b">
        <f t="shared" si="7"/>
        <v>0</v>
      </c>
      <c r="I79" t="str">
        <f t="shared" si="8"/>
        <v/>
      </c>
      <c r="M79" t="s">
        <v>489</v>
      </c>
      <c r="N79" t="s">
        <v>290</v>
      </c>
      <c r="O79" t="str">
        <f t="shared" si="9"/>
        <v>Hemi Administration Center</v>
      </c>
      <c r="P79" t="s">
        <v>448</v>
      </c>
    </row>
    <row r="80" spans="1:16" x14ac:dyDescent="0.4">
      <c r="A80" t="s">
        <v>293</v>
      </c>
      <c r="C80" t="s">
        <v>294</v>
      </c>
      <c r="F80" t="str">
        <f t="shared" si="5"/>
        <v>大津行政センター</v>
      </c>
      <c r="G80" t="str">
        <f t="shared" si="6"/>
        <v>大津行政センター</v>
      </c>
      <c r="H80" t="b">
        <f t="shared" si="7"/>
        <v>0</v>
      </c>
      <c r="I80" t="str">
        <f t="shared" si="8"/>
        <v/>
      </c>
      <c r="M80" t="s">
        <v>490</v>
      </c>
      <c r="N80" t="s">
        <v>292</v>
      </c>
      <c r="O80" t="str">
        <f t="shared" si="9"/>
        <v>Kinugasa Administration Center</v>
      </c>
      <c r="P80" t="s">
        <v>448</v>
      </c>
    </row>
    <row r="81" spans="1:16" x14ac:dyDescent="0.4">
      <c r="A81" t="s">
        <v>295</v>
      </c>
      <c r="C81" t="s">
        <v>296</v>
      </c>
      <c r="F81" t="str">
        <f t="shared" si="5"/>
        <v>浦賀行政センター</v>
      </c>
      <c r="G81" t="str">
        <f t="shared" si="6"/>
        <v>浦賀行政センター</v>
      </c>
      <c r="H81" t="b">
        <f t="shared" si="7"/>
        <v>0</v>
      </c>
      <c r="I81" t="str">
        <f t="shared" si="8"/>
        <v/>
      </c>
      <c r="M81" t="s">
        <v>491</v>
      </c>
      <c r="N81" t="s">
        <v>294</v>
      </c>
      <c r="O81" t="str">
        <f t="shared" si="9"/>
        <v>Otsu Administration Center</v>
      </c>
      <c r="P81" t="s">
        <v>448</v>
      </c>
    </row>
    <row r="82" spans="1:16" x14ac:dyDescent="0.4">
      <c r="A82" t="s">
        <v>297</v>
      </c>
      <c r="C82" t="s">
        <v>298</v>
      </c>
      <c r="F82" t="str">
        <f t="shared" si="5"/>
        <v>久里浜行政センター</v>
      </c>
      <c r="G82" t="str">
        <f t="shared" si="6"/>
        <v>久里浜行政センター</v>
      </c>
      <c r="H82" t="b">
        <f t="shared" si="7"/>
        <v>0</v>
      </c>
      <c r="I82" t="str">
        <f t="shared" si="8"/>
        <v/>
      </c>
      <c r="M82" t="s">
        <v>492</v>
      </c>
      <c r="N82" t="s">
        <v>296</v>
      </c>
      <c r="O82" t="str">
        <f t="shared" si="9"/>
        <v>Uraga Administration Center</v>
      </c>
      <c r="P82" t="s">
        <v>448</v>
      </c>
    </row>
    <row r="83" spans="1:16" x14ac:dyDescent="0.4">
      <c r="B83" t="s">
        <v>45</v>
      </c>
      <c r="C83" t="s">
        <v>299</v>
      </c>
      <c r="F83" t="str">
        <f t="shared" si="5"/>
        <v/>
      </c>
      <c r="G83" t="str">
        <f t="shared" si="6"/>
        <v/>
      </c>
      <c r="H83" t="b">
        <f t="shared" si="7"/>
        <v>1</v>
      </c>
      <c r="I83" t="str">
        <f t="shared" si="8"/>
        <v/>
      </c>
      <c r="M83" t="s">
        <v>493</v>
      </c>
      <c r="N83" t="s">
        <v>298</v>
      </c>
      <c r="O83" t="str">
        <f t="shared" si="9"/>
        <v>Kurihama Administration Center</v>
      </c>
      <c r="P83" t="s">
        <v>448</v>
      </c>
    </row>
    <row r="84" spans="1:16" hidden="1" x14ac:dyDescent="0.4">
      <c r="A84" t="s">
        <v>300</v>
      </c>
      <c r="C84" t="s">
        <v>301</v>
      </c>
      <c r="F84" t="str">
        <f t="shared" si="5"/>
        <v>北下浦行政センター</v>
      </c>
      <c r="G84" t="str">
        <f t="shared" si="6"/>
        <v>北下浦行政センター</v>
      </c>
      <c r="H84" t="b">
        <f t="shared" si="7"/>
        <v>0</v>
      </c>
      <c r="I84" t="str">
        <f t="shared" si="8"/>
        <v/>
      </c>
      <c r="M84" t="s">
        <v>448</v>
      </c>
      <c r="N84" t="s">
        <v>299</v>
      </c>
      <c r="O84" t="str">
        <f t="shared" si="9"/>
        <v>Kurihama Public Service Center</v>
      </c>
      <c r="P84" t="s">
        <v>448</v>
      </c>
    </row>
    <row r="85" spans="1:16" x14ac:dyDescent="0.4">
      <c r="A85" t="s">
        <v>302</v>
      </c>
      <c r="C85" t="s">
        <v>303</v>
      </c>
      <c r="F85" t="str">
        <f t="shared" si="5"/>
        <v>西行政センター</v>
      </c>
      <c r="G85" t="str">
        <f t="shared" si="6"/>
        <v>西行政センター</v>
      </c>
      <c r="H85" t="b">
        <f t="shared" si="7"/>
        <v>0</v>
      </c>
      <c r="I85" t="str">
        <f t="shared" si="8"/>
        <v/>
      </c>
      <c r="M85" t="s">
        <v>494</v>
      </c>
      <c r="N85" t="s">
        <v>301</v>
      </c>
      <c r="O85" t="str">
        <f t="shared" si="9"/>
        <v>Kitashitaura Administration Center</v>
      </c>
      <c r="P85" t="s">
        <v>448</v>
      </c>
    </row>
    <row r="86" spans="1:16" x14ac:dyDescent="0.4">
      <c r="A86" t="s">
        <v>46</v>
      </c>
      <c r="C86" t="s">
        <v>304</v>
      </c>
      <c r="F86" t="str">
        <f t="shared" si="5"/>
        <v>健康部</v>
      </c>
      <c r="G86" t="str">
        <f t="shared" si="6"/>
        <v>健康部</v>
      </c>
      <c r="H86" t="b">
        <f t="shared" si="7"/>
        <v>0</v>
      </c>
      <c r="I86" t="str">
        <f t="shared" si="8"/>
        <v/>
      </c>
      <c r="M86" t="s">
        <v>495</v>
      </c>
      <c r="N86" t="s">
        <v>303</v>
      </c>
      <c r="O86" t="str">
        <f t="shared" si="9"/>
        <v>Nishi Administration Center</v>
      </c>
      <c r="P86" t="s">
        <v>448</v>
      </c>
    </row>
    <row r="87" spans="1:16" x14ac:dyDescent="0.4">
      <c r="A87" t="s">
        <v>47</v>
      </c>
      <c r="C87" t="s">
        <v>305</v>
      </c>
      <c r="F87" t="str">
        <f t="shared" si="5"/>
        <v>健康総務課</v>
      </c>
      <c r="G87" t="str">
        <f t="shared" si="6"/>
        <v>健康総務課</v>
      </c>
      <c r="H87" t="b">
        <f t="shared" si="7"/>
        <v>0</v>
      </c>
      <c r="I87" t="str">
        <f t="shared" si="8"/>
        <v/>
      </c>
      <c r="M87" t="s">
        <v>496</v>
      </c>
      <c r="N87" t="s">
        <v>304</v>
      </c>
      <c r="O87" t="str">
        <f t="shared" si="9"/>
        <v>Health Department</v>
      </c>
      <c r="P87" t="s">
        <v>448</v>
      </c>
    </row>
    <row r="88" spans="1:16" x14ac:dyDescent="0.4">
      <c r="B88" t="s">
        <v>48</v>
      </c>
      <c r="C88" t="s">
        <v>306</v>
      </c>
      <c r="F88" t="str">
        <f t="shared" si="5"/>
        <v/>
      </c>
      <c r="G88" t="str">
        <f t="shared" si="6"/>
        <v/>
      </c>
      <c r="H88" t="b">
        <f t="shared" si="7"/>
        <v>1</v>
      </c>
      <c r="I88" t="str">
        <f t="shared" si="8"/>
        <v/>
      </c>
      <c r="M88" t="s">
        <v>497</v>
      </c>
      <c r="N88" t="s">
        <v>305</v>
      </c>
      <c r="O88" t="str">
        <f t="shared" si="9"/>
        <v>Health General Affairs Division</v>
      </c>
      <c r="P88" t="s">
        <v>448</v>
      </c>
    </row>
    <row r="89" spans="1:16" hidden="1" x14ac:dyDescent="0.4">
      <c r="A89" t="s">
        <v>307</v>
      </c>
      <c r="C89" t="s">
        <v>308</v>
      </c>
      <c r="F89" t="str">
        <f t="shared" si="5"/>
        <v>市立病院課</v>
      </c>
      <c r="G89" t="str">
        <f t="shared" si="6"/>
        <v>市立病院課</v>
      </c>
      <c r="H89" t="b">
        <f t="shared" si="7"/>
        <v>0</v>
      </c>
      <c r="I89" t="str">
        <f t="shared" si="8"/>
        <v/>
      </c>
      <c r="M89" t="s">
        <v>448</v>
      </c>
      <c r="N89" t="s">
        <v>306</v>
      </c>
      <c r="O89" t="str">
        <f t="shared" si="9"/>
        <v>Chuo Funeral Hall</v>
      </c>
      <c r="P89" t="s">
        <v>448</v>
      </c>
    </row>
    <row r="90" spans="1:16" x14ac:dyDescent="0.4">
      <c r="A90" t="s">
        <v>49</v>
      </c>
      <c r="C90" t="s">
        <v>309</v>
      </c>
      <c r="F90" t="str">
        <f t="shared" si="5"/>
        <v>健康増進課</v>
      </c>
      <c r="G90" t="str">
        <f t="shared" si="6"/>
        <v>健康増進課</v>
      </c>
      <c r="H90" t="b">
        <f t="shared" si="7"/>
        <v>0</v>
      </c>
      <c r="I90" t="str">
        <f t="shared" si="8"/>
        <v/>
      </c>
      <c r="M90" t="s">
        <v>498</v>
      </c>
      <c r="N90" t="s">
        <v>308</v>
      </c>
      <c r="O90" t="str">
        <f t="shared" si="9"/>
        <v>Municipal Hospital Division</v>
      </c>
      <c r="P90" t="s">
        <v>448</v>
      </c>
    </row>
    <row r="91" spans="1:16" x14ac:dyDescent="0.4">
      <c r="A91" t="s">
        <v>50</v>
      </c>
      <c r="C91" t="s">
        <v>310</v>
      </c>
      <c r="F91" t="str">
        <f t="shared" si="5"/>
        <v>健康管理支援課</v>
      </c>
      <c r="G91" t="str">
        <f t="shared" si="6"/>
        <v>健康管理支援課</v>
      </c>
      <c r="H91" t="b">
        <f t="shared" si="7"/>
        <v>0</v>
      </c>
      <c r="I91" t="str">
        <f t="shared" si="8"/>
        <v/>
      </c>
      <c r="M91" t="s">
        <v>499</v>
      </c>
      <c r="N91" t="s">
        <v>309</v>
      </c>
      <c r="O91" t="str">
        <f t="shared" si="9"/>
        <v>Health Promotion Division</v>
      </c>
      <c r="P91" t="s">
        <v>448</v>
      </c>
    </row>
    <row r="92" spans="1:16" x14ac:dyDescent="0.4">
      <c r="A92" t="s">
        <v>117</v>
      </c>
      <c r="C92" t="s">
        <v>311</v>
      </c>
      <c r="F92" t="str">
        <f t="shared" si="5"/>
        <v>地域健康課</v>
      </c>
      <c r="G92" t="str">
        <f t="shared" si="6"/>
        <v>地域健康課</v>
      </c>
      <c r="H92" t="b">
        <f t="shared" si="7"/>
        <v>0</v>
      </c>
      <c r="I92" t="str">
        <f t="shared" si="8"/>
        <v/>
      </c>
      <c r="M92" t="s">
        <v>500</v>
      </c>
      <c r="N92" t="s">
        <v>310</v>
      </c>
      <c r="O92" t="str">
        <f t="shared" si="9"/>
        <v>Health Management Support Division</v>
      </c>
      <c r="P92" t="s">
        <v>448</v>
      </c>
    </row>
    <row r="93" spans="1:16" x14ac:dyDescent="0.4">
      <c r="A93" t="s">
        <v>51</v>
      </c>
      <c r="C93" t="s">
        <v>312</v>
      </c>
      <c r="F93" t="str">
        <f t="shared" si="5"/>
        <v>健康保険課</v>
      </c>
      <c r="G93" t="str">
        <f t="shared" si="6"/>
        <v>健康保険課</v>
      </c>
      <c r="H93" t="b">
        <f t="shared" si="7"/>
        <v>0</v>
      </c>
      <c r="I93" t="str">
        <f t="shared" si="8"/>
        <v/>
      </c>
      <c r="M93" t="s">
        <v>501</v>
      </c>
      <c r="N93" t="s">
        <v>311</v>
      </c>
      <c r="O93" t="str">
        <f t="shared" si="9"/>
        <v>Community Health Division</v>
      </c>
      <c r="P93" t="s">
        <v>448</v>
      </c>
    </row>
    <row r="94" spans="1:16" x14ac:dyDescent="0.4">
      <c r="A94" t="s">
        <v>52</v>
      </c>
      <c r="C94" t="s">
        <v>313</v>
      </c>
      <c r="F94" t="str">
        <f t="shared" si="5"/>
        <v>保健所</v>
      </c>
      <c r="G94" t="str">
        <f t="shared" si="6"/>
        <v>保健所</v>
      </c>
      <c r="H94" t="b">
        <f t="shared" si="7"/>
        <v>0</v>
      </c>
      <c r="I94" t="str">
        <f t="shared" si="8"/>
        <v/>
      </c>
      <c r="M94" t="s">
        <v>502</v>
      </c>
      <c r="N94" t="s">
        <v>312</v>
      </c>
      <c r="O94" t="str">
        <f t="shared" si="9"/>
        <v>Health Insurance Division</v>
      </c>
      <c r="P94" t="s">
        <v>448</v>
      </c>
    </row>
    <row r="95" spans="1:16" x14ac:dyDescent="0.4">
      <c r="A95" t="s">
        <v>53</v>
      </c>
      <c r="C95" t="s">
        <v>314</v>
      </c>
      <c r="F95" t="str">
        <f t="shared" si="5"/>
        <v>企画課</v>
      </c>
      <c r="G95" t="str">
        <f t="shared" si="6"/>
        <v>企画課</v>
      </c>
      <c r="H95" t="b">
        <f t="shared" si="7"/>
        <v>0</v>
      </c>
      <c r="I95" t="str">
        <f t="shared" si="8"/>
        <v/>
      </c>
      <c r="M95" t="s">
        <v>503</v>
      </c>
      <c r="N95" t="s">
        <v>313</v>
      </c>
      <c r="O95" t="str">
        <f t="shared" si="9"/>
        <v>Public Health Center</v>
      </c>
      <c r="P95" t="s">
        <v>448</v>
      </c>
    </row>
    <row r="96" spans="1:16" x14ac:dyDescent="0.4">
      <c r="A96" t="s">
        <v>267</v>
      </c>
      <c r="B96" t="s">
        <v>315</v>
      </c>
      <c r="C96" t="s">
        <v>316</v>
      </c>
      <c r="F96" t="str">
        <f t="shared" si="5"/>
        <v/>
      </c>
      <c r="G96" t="str">
        <f t="shared" si="6"/>
        <v/>
      </c>
      <c r="H96" t="b">
        <f t="shared" si="7"/>
        <v>0</v>
      </c>
      <c r="I96" t="str">
        <f t="shared" si="8"/>
        <v/>
      </c>
      <c r="M96" t="s">
        <v>462</v>
      </c>
      <c r="N96" t="s">
        <v>314</v>
      </c>
      <c r="O96" t="str">
        <f t="shared" si="9"/>
        <v>Planning and Policy Division</v>
      </c>
      <c r="P96" t="s">
        <v>448</v>
      </c>
    </row>
    <row r="97" spans="1:16" hidden="1" x14ac:dyDescent="0.4">
      <c r="A97" t="s">
        <v>54</v>
      </c>
      <c r="C97" t="s">
        <v>317</v>
      </c>
      <c r="F97" t="str">
        <f t="shared" si="5"/>
        <v>保健予防課</v>
      </c>
      <c r="G97" t="str">
        <f t="shared" si="6"/>
        <v>保健予防課</v>
      </c>
      <c r="H97" t="b">
        <f t="shared" si="7"/>
        <v>0</v>
      </c>
      <c r="I97" t="str">
        <f t="shared" si="8"/>
        <v/>
      </c>
      <c r="M97" t="s">
        <v>448</v>
      </c>
      <c r="N97" t="s">
        <v>316</v>
      </c>
      <c r="O97" t="str">
        <f t="shared" si="9"/>
        <v>Health Crisis Management Director</v>
      </c>
      <c r="P97" t="s">
        <v>448</v>
      </c>
    </row>
    <row r="98" spans="1:16" x14ac:dyDescent="0.4">
      <c r="A98" t="s">
        <v>55</v>
      </c>
      <c r="C98" t="s">
        <v>318</v>
      </c>
      <c r="F98" t="str">
        <f t="shared" si="5"/>
        <v>生活衛生課</v>
      </c>
      <c r="G98" t="str">
        <f t="shared" si="6"/>
        <v>生活衛生課</v>
      </c>
      <c r="H98" t="b">
        <f t="shared" si="7"/>
        <v>0</v>
      </c>
      <c r="I98" t="str">
        <f t="shared" si="8"/>
        <v/>
      </c>
      <c r="M98" t="s">
        <v>504</v>
      </c>
      <c r="N98" t="s">
        <v>317</v>
      </c>
      <c r="O98" t="str">
        <f t="shared" si="9"/>
        <v>Health Protection Division</v>
      </c>
      <c r="P98" t="s">
        <v>448</v>
      </c>
    </row>
    <row r="99" spans="1:16" x14ac:dyDescent="0.4">
      <c r="A99" t="s">
        <v>56</v>
      </c>
      <c r="C99" t="s">
        <v>319</v>
      </c>
      <c r="F99" t="str">
        <f t="shared" si="5"/>
        <v>健康安全科学センター</v>
      </c>
      <c r="G99" t="str">
        <f t="shared" si="6"/>
        <v>健康安全科学センター</v>
      </c>
      <c r="H99" t="b">
        <f t="shared" si="7"/>
        <v>0</v>
      </c>
      <c r="I99" t="str">
        <f t="shared" si="8"/>
        <v/>
      </c>
      <c r="M99" t="s">
        <v>505</v>
      </c>
      <c r="N99" t="s">
        <v>318</v>
      </c>
      <c r="O99" t="str">
        <f t="shared" si="9"/>
        <v>Sanitary Affairs Division</v>
      </c>
      <c r="P99" t="s">
        <v>448</v>
      </c>
    </row>
    <row r="100" spans="1:16" x14ac:dyDescent="0.4">
      <c r="A100" t="s">
        <v>57</v>
      </c>
      <c r="C100" t="s">
        <v>150</v>
      </c>
      <c r="F100" t="str">
        <f t="shared" si="5"/>
        <v>こども家庭支援センター（児童相談所）</v>
      </c>
      <c r="G100" t="str">
        <f t="shared" si="6"/>
        <v>こども家庭支援センター児童相談所</v>
      </c>
      <c r="H100" t="b">
        <f t="shared" si="7"/>
        <v>0</v>
      </c>
      <c r="I100" t="str">
        <f t="shared" si="8"/>
        <v/>
      </c>
      <c r="M100" t="s">
        <v>506</v>
      </c>
      <c r="N100" t="s">
        <v>319</v>
      </c>
      <c r="O100" t="str">
        <f t="shared" si="9"/>
        <v>Institute of Public Health</v>
      </c>
      <c r="P100" t="s">
        <v>448</v>
      </c>
    </row>
    <row r="101" spans="1:16" x14ac:dyDescent="0.4">
      <c r="A101" t="s">
        <v>58</v>
      </c>
      <c r="C101" t="s">
        <v>320</v>
      </c>
      <c r="F101" t="str">
        <f t="shared" si="5"/>
        <v>こども家庭支援課</v>
      </c>
      <c r="G101" t="str">
        <f t="shared" si="6"/>
        <v>こども家庭支援課</v>
      </c>
      <c r="H101" t="b">
        <f t="shared" si="7"/>
        <v>0</v>
      </c>
      <c r="I101" t="str">
        <f t="shared" si="8"/>
        <v/>
      </c>
      <c r="M101" t="s">
        <v>507</v>
      </c>
      <c r="N101" t="s">
        <v>150</v>
      </c>
      <c r="O101" t="str">
        <f t="shared" si="9"/>
        <v>Child and Family Support Center</v>
      </c>
      <c r="P101" t="s">
        <v>448</v>
      </c>
    </row>
    <row r="102" spans="1:16" x14ac:dyDescent="0.4">
      <c r="A102" t="s">
        <v>59</v>
      </c>
      <c r="C102" t="s">
        <v>321</v>
      </c>
      <c r="F102" t="str">
        <f t="shared" si="5"/>
        <v>こども給付課</v>
      </c>
      <c r="G102" t="str">
        <f t="shared" si="6"/>
        <v>こども給付課</v>
      </c>
      <c r="H102" t="b">
        <f t="shared" si="7"/>
        <v>0</v>
      </c>
      <c r="I102" t="str">
        <f t="shared" si="8"/>
        <v/>
      </c>
      <c r="M102" t="s">
        <v>508</v>
      </c>
      <c r="N102" t="s">
        <v>320</v>
      </c>
      <c r="O102" t="str">
        <f t="shared" si="9"/>
        <v>Child and Family Support Division</v>
      </c>
      <c r="P102" t="s">
        <v>448</v>
      </c>
    </row>
    <row r="103" spans="1:16" x14ac:dyDescent="0.4">
      <c r="A103" t="s">
        <v>60</v>
      </c>
      <c r="C103" t="s">
        <v>322</v>
      </c>
      <c r="F103" t="str">
        <f t="shared" si="5"/>
        <v>児童相談課</v>
      </c>
      <c r="G103" t="str">
        <f t="shared" si="6"/>
        <v>児童相談課</v>
      </c>
      <c r="H103" t="b">
        <f t="shared" si="7"/>
        <v>0</v>
      </c>
      <c r="I103" t="str">
        <f t="shared" si="8"/>
        <v/>
      </c>
      <c r="M103" t="s">
        <v>509</v>
      </c>
      <c r="N103" t="s">
        <v>321</v>
      </c>
      <c r="O103" t="str">
        <f t="shared" si="9"/>
        <v>Child Allowance Division</v>
      </c>
      <c r="P103" t="s">
        <v>448</v>
      </c>
    </row>
    <row r="104" spans="1:16" x14ac:dyDescent="0.4">
      <c r="A104" t="s">
        <v>61</v>
      </c>
      <c r="C104" t="s">
        <v>323</v>
      </c>
      <c r="F104" t="str">
        <f t="shared" si="5"/>
        <v>環境部</v>
      </c>
      <c r="G104" t="str">
        <f t="shared" si="6"/>
        <v>環境部</v>
      </c>
      <c r="H104" t="b">
        <f t="shared" si="7"/>
        <v>1</v>
      </c>
      <c r="I104" t="str">
        <f t="shared" si="8"/>
        <v>環境部</v>
      </c>
      <c r="M104" t="s">
        <v>510</v>
      </c>
      <c r="N104" t="s">
        <v>322</v>
      </c>
      <c r="O104" t="str">
        <f t="shared" si="9"/>
        <v>Children's Guidance Division</v>
      </c>
      <c r="P104" t="s">
        <v>448</v>
      </c>
    </row>
    <row r="105" spans="1:16" x14ac:dyDescent="0.4">
      <c r="A105" t="s">
        <v>62</v>
      </c>
      <c r="C105" t="s">
        <v>324</v>
      </c>
      <c r="F105" t="str">
        <f t="shared" si="5"/>
        <v>環境政策課</v>
      </c>
      <c r="G105" t="str">
        <f t="shared" si="6"/>
        <v>環境政策課</v>
      </c>
      <c r="H105" t="b">
        <f t="shared" si="7"/>
        <v>0</v>
      </c>
      <c r="I105" t="str">
        <f t="shared" si="8"/>
        <v>環境部</v>
      </c>
      <c r="M105" t="s">
        <v>511</v>
      </c>
      <c r="N105" t="s">
        <v>323</v>
      </c>
      <c r="O105" t="str">
        <f t="shared" si="9"/>
        <v>Environment Department</v>
      </c>
      <c r="P105" t="s">
        <v>511</v>
      </c>
    </row>
    <row r="106" spans="1:16" x14ac:dyDescent="0.4">
      <c r="A106" t="s">
        <v>63</v>
      </c>
      <c r="C106" t="s">
        <v>325</v>
      </c>
      <c r="F106" t="str">
        <f t="shared" si="5"/>
        <v>環境保全課</v>
      </c>
      <c r="G106" t="str">
        <f t="shared" si="6"/>
        <v>環境保全課</v>
      </c>
      <c r="H106" t="b">
        <f t="shared" si="7"/>
        <v>0</v>
      </c>
      <c r="I106" t="str">
        <f t="shared" si="8"/>
        <v>環境部</v>
      </c>
      <c r="M106" t="s">
        <v>512</v>
      </c>
      <c r="N106" t="s">
        <v>324</v>
      </c>
      <c r="O106" t="str">
        <f t="shared" si="9"/>
        <v>Environment Policy Division</v>
      </c>
      <c r="P106" t="s">
        <v>511</v>
      </c>
    </row>
    <row r="107" spans="1:16" x14ac:dyDescent="0.4">
      <c r="A107" t="s">
        <v>326</v>
      </c>
      <c r="C107" t="s">
        <v>327</v>
      </c>
      <c r="F107" t="str">
        <f t="shared" si="5"/>
        <v>廃棄物対策課</v>
      </c>
      <c r="G107" t="str">
        <f t="shared" si="6"/>
        <v>廃棄物対策課</v>
      </c>
      <c r="H107" t="b">
        <f t="shared" si="7"/>
        <v>0</v>
      </c>
      <c r="I107" t="str">
        <f t="shared" si="8"/>
        <v>環境部</v>
      </c>
      <c r="M107" t="s">
        <v>513</v>
      </c>
      <c r="N107" t="s">
        <v>325</v>
      </c>
      <c r="O107" t="str">
        <f t="shared" si="9"/>
        <v>Environmental Conservation Division</v>
      </c>
      <c r="P107" t="s">
        <v>511</v>
      </c>
    </row>
    <row r="108" spans="1:16" x14ac:dyDescent="0.4">
      <c r="A108" t="s">
        <v>64</v>
      </c>
      <c r="C108" t="s">
        <v>328</v>
      </c>
      <c r="F108" t="str">
        <f t="shared" si="5"/>
        <v>環境施設課</v>
      </c>
      <c r="G108" t="str">
        <f t="shared" si="6"/>
        <v>環境施設課</v>
      </c>
      <c r="H108" t="b">
        <f t="shared" si="7"/>
        <v>0</v>
      </c>
      <c r="I108" t="str">
        <f t="shared" si="8"/>
        <v>環境部</v>
      </c>
      <c r="M108" t="s">
        <v>514</v>
      </c>
      <c r="N108" t="s">
        <v>327</v>
      </c>
      <c r="O108" t="str">
        <f t="shared" si="9"/>
        <v>Waste Management Division</v>
      </c>
      <c r="P108" t="s">
        <v>511</v>
      </c>
    </row>
    <row r="109" spans="1:16" x14ac:dyDescent="0.4">
      <c r="A109" t="s">
        <v>65</v>
      </c>
      <c r="C109" t="s">
        <v>329</v>
      </c>
      <c r="F109" t="str">
        <f t="shared" si="5"/>
        <v>広域処理センター</v>
      </c>
      <c r="G109" t="str">
        <f t="shared" si="6"/>
        <v>広域処理センター</v>
      </c>
      <c r="H109" t="b">
        <f t="shared" si="7"/>
        <v>0</v>
      </c>
      <c r="I109" t="str">
        <f t="shared" si="8"/>
        <v>環境部</v>
      </c>
      <c r="M109" t="s">
        <v>515</v>
      </c>
      <c r="N109" t="s">
        <v>328</v>
      </c>
      <c r="O109" t="str">
        <f t="shared" si="9"/>
        <v>Environmental Facilities Division</v>
      </c>
      <c r="P109" t="s">
        <v>511</v>
      </c>
    </row>
    <row r="110" spans="1:16" x14ac:dyDescent="0.4">
      <c r="A110" t="s">
        <v>66</v>
      </c>
      <c r="C110" t="s">
        <v>330</v>
      </c>
      <c r="F110" t="str">
        <f t="shared" si="5"/>
        <v>久里浜収集事務所</v>
      </c>
      <c r="G110" t="str">
        <f t="shared" si="6"/>
        <v>久里浜収集事務所</v>
      </c>
      <c r="H110" t="b">
        <f t="shared" si="7"/>
        <v>0</v>
      </c>
      <c r="I110" t="str">
        <f t="shared" si="8"/>
        <v>環境部</v>
      </c>
      <c r="M110" t="s">
        <v>516</v>
      </c>
      <c r="N110" t="s">
        <v>329</v>
      </c>
      <c r="O110" t="str">
        <f t="shared" si="9"/>
        <v>Wide-Area Disposal Center</v>
      </c>
      <c r="P110" t="s">
        <v>511</v>
      </c>
    </row>
    <row r="111" spans="1:16" x14ac:dyDescent="0.4">
      <c r="A111" t="s">
        <v>67</v>
      </c>
      <c r="C111" t="s">
        <v>68</v>
      </c>
      <c r="F111" t="str">
        <f t="shared" si="5"/>
        <v>経済部</v>
      </c>
      <c r="G111" t="str">
        <f t="shared" si="6"/>
        <v>経済部</v>
      </c>
      <c r="H111" t="b">
        <f t="shared" si="7"/>
        <v>1</v>
      </c>
      <c r="I111" t="str">
        <f t="shared" si="8"/>
        <v>経済部</v>
      </c>
      <c r="M111" t="s">
        <v>517</v>
      </c>
      <c r="N111" t="s">
        <v>330</v>
      </c>
      <c r="O111" t="str">
        <f t="shared" si="9"/>
        <v>Kurihama Waste Collection Office</v>
      </c>
      <c r="P111" t="s">
        <v>511</v>
      </c>
    </row>
    <row r="112" spans="1:16" x14ac:dyDescent="0.4">
      <c r="A112" t="s">
        <v>69</v>
      </c>
      <c r="C112" t="s">
        <v>331</v>
      </c>
      <c r="F112" t="str">
        <f t="shared" si="5"/>
        <v>経済企画課</v>
      </c>
      <c r="G112" t="str">
        <f t="shared" si="6"/>
        <v>経済企画課</v>
      </c>
      <c r="H112" t="b">
        <f t="shared" si="7"/>
        <v>0</v>
      </c>
      <c r="I112" t="str">
        <f t="shared" si="8"/>
        <v>経済部</v>
      </c>
      <c r="M112" t="s">
        <v>518</v>
      </c>
      <c r="N112" t="s">
        <v>68</v>
      </c>
      <c r="O112" t="str">
        <f t="shared" si="9"/>
        <v>Economic Department</v>
      </c>
      <c r="P112" t="s">
        <v>518</v>
      </c>
    </row>
    <row r="113" spans="1:16" x14ac:dyDescent="0.4">
      <c r="A113" t="s">
        <v>70</v>
      </c>
      <c r="C113" t="s">
        <v>332</v>
      </c>
      <c r="F113" t="str">
        <f t="shared" si="5"/>
        <v>企業誘致・工業振興課</v>
      </c>
      <c r="G113" t="str">
        <f t="shared" si="6"/>
        <v>企業誘致・工業振興課</v>
      </c>
      <c r="H113" t="b">
        <f t="shared" si="7"/>
        <v>0</v>
      </c>
      <c r="I113" t="str">
        <f t="shared" si="8"/>
        <v>経済部</v>
      </c>
      <c r="M113" t="s">
        <v>519</v>
      </c>
      <c r="N113" t="s">
        <v>331</v>
      </c>
      <c r="O113" t="str">
        <f t="shared" si="9"/>
        <v>Economic Planning Division</v>
      </c>
      <c r="P113" t="s">
        <v>518</v>
      </c>
    </row>
    <row r="114" spans="1:16" x14ac:dyDescent="0.4">
      <c r="B114" t="s">
        <v>333</v>
      </c>
      <c r="C114" t="s">
        <v>334</v>
      </c>
      <c r="F114" t="str">
        <f t="shared" si="5"/>
        <v/>
      </c>
      <c r="G114" t="str">
        <f t="shared" si="6"/>
        <v/>
      </c>
      <c r="H114" t="b">
        <f t="shared" si="7"/>
        <v>1</v>
      </c>
      <c r="I114" t="str">
        <f t="shared" si="8"/>
        <v/>
      </c>
      <c r="M114" t="s">
        <v>520</v>
      </c>
      <c r="N114" t="s">
        <v>332</v>
      </c>
      <c r="O114" t="str">
        <f t="shared" si="9"/>
        <v>Business Attraction and Industrial Promotion Division</v>
      </c>
      <c r="P114" t="s">
        <v>518</v>
      </c>
    </row>
    <row r="115" spans="1:16" hidden="1" x14ac:dyDescent="0.4">
      <c r="A115" t="s">
        <v>71</v>
      </c>
      <c r="C115" t="s">
        <v>335</v>
      </c>
      <c r="F115" t="str">
        <f t="shared" si="5"/>
        <v>創業・新産業支援課</v>
      </c>
      <c r="G115" t="str">
        <f t="shared" si="6"/>
        <v>創業・新産業支援課</v>
      </c>
      <c r="H115" t="b">
        <f t="shared" si="7"/>
        <v>0</v>
      </c>
      <c r="I115" t="str">
        <f t="shared" si="8"/>
        <v/>
      </c>
      <c r="M115" t="s">
        <v>448</v>
      </c>
      <c r="N115" t="s">
        <v>334</v>
      </c>
      <c r="O115" t="str">
        <f t="shared" si="9"/>
        <v>YRP Research and Development Promotion Director</v>
      </c>
      <c r="P115" t="s">
        <v>448</v>
      </c>
    </row>
    <row r="116" spans="1:16" x14ac:dyDescent="0.4">
      <c r="B116" t="s">
        <v>336</v>
      </c>
      <c r="C116" t="s">
        <v>147</v>
      </c>
      <c r="F116" t="str">
        <f t="shared" si="5"/>
        <v/>
      </c>
      <c r="G116" t="str">
        <f t="shared" si="6"/>
        <v/>
      </c>
      <c r="H116" t="b">
        <f t="shared" si="7"/>
        <v>1</v>
      </c>
      <c r="I116" t="str">
        <f t="shared" si="8"/>
        <v/>
      </c>
      <c r="M116" t="s">
        <v>521</v>
      </c>
      <c r="N116" t="s">
        <v>335</v>
      </c>
      <c r="O116" t="str">
        <f t="shared" si="9"/>
        <v>Business Startup and New Industries Support Division</v>
      </c>
      <c r="P116" t="s">
        <v>448</v>
      </c>
    </row>
    <row r="117" spans="1:16" hidden="1" x14ac:dyDescent="0.4">
      <c r="A117" t="s">
        <v>153</v>
      </c>
      <c r="C117" t="s">
        <v>337</v>
      </c>
      <c r="F117" t="str">
        <f t="shared" si="5"/>
        <v>農水産業振興課</v>
      </c>
      <c r="G117" t="str">
        <f t="shared" si="6"/>
        <v>農水産業振興課</v>
      </c>
      <c r="H117" t="b">
        <f t="shared" si="7"/>
        <v>0</v>
      </c>
      <c r="I117" t="str">
        <f t="shared" si="8"/>
        <v/>
      </c>
      <c r="M117" t="s">
        <v>448</v>
      </c>
      <c r="N117" t="s">
        <v>147</v>
      </c>
      <c r="O117" t="str">
        <f t="shared" si="9"/>
        <v>Hometown Tax Planning Director</v>
      </c>
      <c r="P117" t="s">
        <v>448</v>
      </c>
    </row>
    <row r="118" spans="1:16" x14ac:dyDescent="0.4">
      <c r="A118" t="s">
        <v>72</v>
      </c>
      <c r="C118" t="s">
        <v>73</v>
      </c>
      <c r="F118" t="str">
        <f t="shared" si="5"/>
        <v>都市部</v>
      </c>
      <c r="G118" t="str">
        <f t="shared" si="6"/>
        <v>都市部</v>
      </c>
      <c r="H118" t="b">
        <f t="shared" si="7"/>
        <v>1</v>
      </c>
      <c r="I118" t="str">
        <f t="shared" si="8"/>
        <v>都市部</v>
      </c>
      <c r="M118" t="s">
        <v>522</v>
      </c>
      <c r="N118" t="s">
        <v>337</v>
      </c>
      <c r="O118" t="str">
        <f t="shared" si="9"/>
        <v>Agriculture and Fisheries Promotion Division</v>
      </c>
      <c r="P118" t="s">
        <v>448</v>
      </c>
    </row>
    <row r="119" spans="1:16" x14ac:dyDescent="0.4">
      <c r="A119" t="s">
        <v>338</v>
      </c>
      <c r="C119" t="s">
        <v>339</v>
      </c>
      <c r="F119" t="str">
        <f t="shared" si="5"/>
        <v>都市計画課</v>
      </c>
      <c r="G119" t="str">
        <f t="shared" si="6"/>
        <v>都市計画課</v>
      </c>
      <c r="H119" t="b">
        <f t="shared" si="7"/>
        <v>0</v>
      </c>
      <c r="I119" t="str">
        <f t="shared" si="8"/>
        <v>都市部</v>
      </c>
      <c r="M119" t="s">
        <v>523</v>
      </c>
      <c r="N119" t="s">
        <v>73</v>
      </c>
      <c r="O119" t="str">
        <f t="shared" si="9"/>
        <v>City Planning Department</v>
      </c>
      <c r="P119" t="s">
        <v>523</v>
      </c>
    </row>
    <row r="120" spans="1:16" x14ac:dyDescent="0.4">
      <c r="A120" t="s">
        <v>74</v>
      </c>
      <c r="C120" t="s">
        <v>340</v>
      </c>
      <c r="F120" t="str">
        <f t="shared" si="5"/>
        <v>まちなみ景観課</v>
      </c>
      <c r="G120" t="str">
        <f t="shared" si="6"/>
        <v>まちなみ景観課</v>
      </c>
      <c r="H120" t="b">
        <f t="shared" si="7"/>
        <v>0</v>
      </c>
      <c r="I120" t="str">
        <f t="shared" si="8"/>
        <v>都市部</v>
      </c>
      <c r="M120" t="s">
        <v>524</v>
      </c>
      <c r="N120" t="s">
        <v>339</v>
      </c>
      <c r="O120" t="str">
        <f t="shared" si="9"/>
        <v>City Planning Division</v>
      </c>
      <c r="P120" t="s">
        <v>523</v>
      </c>
    </row>
    <row r="121" spans="1:16" x14ac:dyDescent="0.4">
      <c r="A121" t="s">
        <v>75</v>
      </c>
      <c r="C121" t="s">
        <v>341</v>
      </c>
      <c r="F121" t="str">
        <f t="shared" si="5"/>
        <v>市営住宅課</v>
      </c>
      <c r="G121" t="str">
        <f t="shared" si="6"/>
        <v>市営住宅課</v>
      </c>
      <c r="H121" t="b">
        <f t="shared" si="7"/>
        <v>0</v>
      </c>
      <c r="I121" t="str">
        <f t="shared" si="8"/>
        <v>都市部</v>
      </c>
      <c r="M121" t="s">
        <v>525</v>
      </c>
      <c r="N121" t="s">
        <v>340</v>
      </c>
      <c r="O121" t="str">
        <f t="shared" si="9"/>
        <v>Townscape Division</v>
      </c>
      <c r="P121" t="s">
        <v>523</v>
      </c>
    </row>
    <row r="122" spans="1:16" x14ac:dyDescent="0.4">
      <c r="A122" t="s">
        <v>120</v>
      </c>
      <c r="C122" t="s">
        <v>342</v>
      </c>
      <c r="F122" t="str">
        <f t="shared" si="5"/>
        <v>建築計画課</v>
      </c>
      <c r="G122" t="str">
        <f t="shared" si="6"/>
        <v>建築計画課</v>
      </c>
      <c r="H122" t="b">
        <f t="shared" si="7"/>
        <v>0</v>
      </c>
      <c r="I122" t="str">
        <f t="shared" si="8"/>
        <v>都市部</v>
      </c>
      <c r="M122" t="s">
        <v>526</v>
      </c>
      <c r="N122" t="s">
        <v>341</v>
      </c>
      <c r="O122" t="str">
        <f t="shared" si="9"/>
        <v>Municipal Housing Division</v>
      </c>
      <c r="P122" t="s">
        <v>523</v>
      </c>
    </row>
    <row r="123" spans="1:16" x14ac:dyDescent="0.4">
      <c r="A123" t="s">
        <v>121</v>
      </c>
      <c r="C123" t="s">
        <v>129</v>
      </c>
      <c r="F123" t="str">
        <f t="shared" si="5"/>
        <v>宅地審査防災課</v>
      </c>
      <c r="G123" t="str">
        <f t="shared" si="6"/>
        <v>宅地審査防災課</v>
      </c>
      <c r="H123" t="b">
        <f t="shared" si="7"/>
        <v>0</v>
      </c>
      <c r="I123" t="str">
        <f t="shared" si="8"/>
        <v>都市部</v>
      </c>
      <c r="M123" t="s">
        <v>527</v>
      </c>
      <c r="N123" t="s">
        <v>342</v>
      </c>
      <c r="O123" t="str">
        <f t="shared" si="9"/>
        <v>Construction Planning Division</v>
      </c>
      <c r="P123" t="s">
        <v>523</v>
      </c>
    </row>
    <row r="124" spans="1:16" x14ac:dyDescent="0.4">
      <c r="A124" t="s">
        <v>76</v>
      </c>
      <c r="C124" t="s">
        <v>343</v>
      </c>
      <c r="F124" t="str">
        <f t="shared" si="5"/>
        <v>建築指導課</v>
      </c>
      <c r="G124" t="str">
        <f t="shared" si="6"/>
        <v>建築指導課</v>
      </c>
      <c r="H124" t="b">
        <f t="shared" si="7"/>
        <v>0</v>
      </c>
      <c r="I124" t="str">
        <f t="shared" si="8"/>
        <v>都市部</v>
      </c>
      <c r="M124" t="s">
        <v>528</v>
      </c>
      <c r="N124" t="s">
        <v>129</v>
      </c>
      <c r="O124" t="str">
        <f t="shared" si="9"/>
        <v>Housing Site Inspection and Disaster Prevention Division</v>
      </c>
      <c r="P124" t="s">
        <v>523</v>
      </c>
    </row>
    <row r="125" spans="1:16" x14ac:dyDescent="0.4">
      <c r="A125" t="s">
        <v>77</v>
      </c>
      <c r="C125" t="s">
        <v>344</v>
      </c>
      <c r="F125" t="str">
        <f t="shared" si="5"/>
        <v>建設部</v>
      </c>
      <c r="G125" t="str">
        <f t="shared" si="6"/>
        <v>建設部</v>
      </c>
      <c r="H125" t="b">
        <f t="shared" si="7"/>
        <v>1</v>
      </c>
      <c r="I125" t="str">
        <f t="shared" si="8"/>
        <v>建設部</v>
      </c>
      <c r="M125" t="s">
        <v>529</v>
      </c>
      <c r="N125" t="s">
        <v>343</v>
      </c>
      <c r="O125" t="str">
        <f t="shared" si="9"/>
        <v>Building Guidance Division</v>
      </c>
      <c r="P125" t="s">
        <v>523</v>
      </c>
    </row>
    <row r="126" spans="1:16" x14ac:dyDescent="0.4">
      <c r="A126" t="s">
        <v>345</v>
      </c>
      <c r="C126" t="s">
        <v>346</v>
      </c>
      <c r="F126" t="str">
        <f t="shared" si="5"/>
        <v>（建設総務課）</v>
      </c>
      <c r="G126" t="str">
        <f t="shared" si="6"/>
        <v>建設総務課</v>
      </c>
      <c r="H126" t="b">
        <f t="shared" si="7"/>
        <v>1</v>
      </c>
      <c r="I126" t="str">
        <f t="shared" si="8"/>
        <v>建設総務課</v>
      </c>
      <c r="M126" t="s">
        <v>530</v>
      </c>
      <c r="N126" t="s">
        <v>344</v>
      </c>
      <c r="O126" t="str">
        <f t="shared" si="9"/>
        <v>Construction Department</v>
      </c>
      <c r="P126" t="s">
        <v>530</v>
      </c>
    </row>
    <row r="127" spans="1:16" x14ac:dyDescent="0.4">
      <c r="B127" t="s">
        <v>194</v>
      </c>
      <c r="C127" t="s">
        <v>347</v>
      </c>
      <c r="F127" t="str">
        <f t="shared" si="5"/>
        <v/>
      </c>
      <c r="G127" t="str">
        <f t="shared" si="6"/>
        <v/>
      </c>
      <c r="H127" t="b">
        <f t="shared" si="7"/>
        <v>1</v>
      </c>
      <c r="I127" t="str">
        <f t="shared" si="8"/>
        <v/>
      </c>
      <c r="M127" t="s">
        <v>531</v>
      </c>
      <c r="N127" t="s">
        <v>346</v>
      </c>
      <c r="O127" t="str">
        <f t="shared" si="9"/>
        <v>Construction General Affairs Division</v>
      </c>
      <c r="P127" t="s">
        <v>531</v>
      </c>
    </row>
    <row r="128" spans="1:16" hidden="1" x14ac:dyDescent="0.4">
      <c r="B128" t="s">
        <v>195</v>
      </c>
      <c r="C128" t="s">
        <v>348</v>
      </c>
      <c r="F128" t="str">
        <f t="shared" si="5"/>
        <v/>
      </c>
      <c r="G128" t="str">
        <f t="shared" si="6"/>
        <v/>
      </c>
      <c r="H128" t="b">
        <f t="shared" si="7"/>
        <v>1</v>
      </c>
      <c r="I128" t="str">
        <f t="shared" si="8"/>
        <v/>
      </c>
      <c r="M128" t="s">
        <v>448</v>
      </c>
      <c r="N128" t="s">
        <v>347</v>
      </c>
      <c r="O128" t="str">
        <f t="shared" si="9"/>
        <v>Engineering and Inspection Director</v>
      </c>
      <c r="P128" t="s">
        <v>448</v>
      </c>
    </row>
    <row r="129" spans="1:16" hidden="1" x14ac:dyDescent="0.4">
      <c r="A129" t="s">
        <v>79</v>
      </c>
      <c r="C129" t="s">
        <v>349</v>
      </c>
      <c r="F129" t="str">
        <f t="shared" si="5"/>
        <v>土木用地課</v>
      </c>
      <c r="G129" t="str">
        <f t="shared" si="6"/>
        <v>土木用地課</v>
      </c>
      <c r="H129" t="b">
        <f t="shared" si="7"/>
        <v>0</v>
      </c>
      <c r="I129" t="str">
        <f t="shared" si="8"/>
        <v/>
      </c>
      <c r="M129" t="s">
        <v>448</v>
      </c>
      <c r="N129" t="s">
        <v>348</v>
      </c>
      <c r="O129" t="str">
        <f t="shared" si="9"/>
        <v>Planning Director</v>
      </c>
      <c r="P129" t="s">
        <v>448</v>
      </c>
    </row>
    <row r="130" spans="1:16" x14ac:dyDescent="0.4">
      <c r="A130" t="s">
        <v>80</v>
      </c>
      <c r="C130" t="s">
        <v>350</v>
      </c>
      <c r="F130" t="str">
        <f t="shared" ref="F130:F193" si="10">TRIM(A130)</f>
        <v>道路整備課</v>
      </c>
      <c r="G130" t="str">
        <f t="shared" ref="G130:G193" si="11">SUBSTITUTE(SUBSTITUTE(SUBSTITUTE(SUBSTITUTE(F130, "(", ""), ")", ""), "（", ""), "）", "")</f>
        <v>道路整備課</v>
      </c>
      <c r="H130" t="b">
        <f t="shared" ref="H130:H193" si="12">IF(A130=TRIM(A130), TRUE, FALSE)</f>
        <v>0</v>
      </c>
      <c r="I130" t="str">
        <f t="shared" si="8"/>
        <v/>
      </c>
      <c r="M130" t="s">
        <v>532</v>
      </c>
      <c r="N130" t="s">
        <v>349</v>
      </c>
      <c r="O130" t="str">
        <f t="shared" si="9"/>
        <v>Public Works Land Division</v>
      </c>
      <c r="P130" t="s">
        <v>448</v>
      </c>
    </row>
    <row r="131" spans="1:16" x14ac:dyDescent="0.4">
      <c r="B131" t="s">
        <v>141</v>
      </c>
      <c r="C131" t="s">
        <v>351</v>
      </c>
      <c r="F131" t="str">
        <f t="shared" si="10"/>
        <v/>
      </c>
      <c r="G131" t="str">
        <f t="shared" si="11"/>
        <v/>
      </c>
      <c r="H131" t="b">
        <f t="shared" si="12"/>
        <v>1</v>
      </c>
      <c r="I131" t="str">
        <f t="shared" ref="I131:I194" si="13">IF(H131,G131,I130)</f>
        <v/>
      </c>
      <c r="M131" t="s">
        <v>533</v>
      </c>
      <c r="N131" t="s">
        <v>350</v>
      </c>
      <c r="O131" t="str">
        <f t="shared" ref="O131:O194" si="14">TRIM(N131)</f>
        <v>Road Construction and Improvement Division</v>
      </c>
      <c r="P131" t="s">
        <v>448</v>
      </c>
    </row>
    <row r="132" spans="1:16" hidden="1" x14ac:dyDescent="0.4">
      <c r="A132" t="s">
        <v>81</v>
      </c>
      <c r="C132" t="s">
        <v>352</v>
      </c>
      <c r="F132" t="str">
        <f t="shared" si="10"/>
        <v>道路維持課</v>
      </c>
      <c r="G132" t="str">
        <f t="shared" si="11"/>
        <v>道路維持課</v>
      </c>
      <c r="H132" t="b">
        <f t="shared" si="12"/>
        <v>0</v>
      </c>
      <c r="I132" t="str">
        <f t="shared" si="13"/>
        <v/>
      </c>
      <c r="M132" t="s">
        <v>448</v>
      </c>
      <c r="N132" t="s">
        <v>351</v>
      </c>
      <c r="O132" t="str">
        <f t="shared" si="14"/>
        <v>Road Repair Director</v>
      </c>
      <c r="P132" t="s">
        <v>448</v>
      </c>
    </row>
    <row r="133" spans="1:16" x14ac:dyDescent="0.4">
      <c r="A133" t="s">
        <v>122</v>
      </c>
      <c r="C133" t="s">
        <v>353</v>
      </c>
      <c r="F133" t="str">
        <f t="shared" si="10"/>
        <v>自然環境・河川課</v>
      </c>
      <c r="G133" t="str">
        <f t="shared" si="11"/>
        <v>自然環境・河川課</v>
      </c>
      <c r="H133" t="b">
        <f t="shared" si="12"/>
        <v>0</v>
      </c>
      <c r="I133" t="str">
        <f t="shared" si="13"/>
        <v/>
      </c>
      <c r="M133" t="s">
        <v>534</v>
      </c>
      <c r="N133" t="s">
        <v>352</v>
      </c>
      <c r="O133" t="str">
        <f t="shared" si="14"/>
        <v>Road Maintenance Division</v>
      </c>
      <c r="P133" t="s">
        <v>448</v>
      </c>
    </row>
    <row r="134" spans="1:16" x14ac:dyDescent="0.4">
      <c r="B134" t="s">
        <v>154</v>
      </c>
      <c r="C134" t="s">
        <v>155</v>
      </c>
      <c r="F134" t="str">
        <f t="shared" si="10"/>
        <v/>
      </c>
      <c r="G134" t="str">
        <f t="shared" si="11"/>
        <v/>
      </c>
      <c r="H134" t="b">
        <f t="shared" si="12"/>
        <v>1</v>
      </c>
      <c r="I134" t="str">
        <f t="shared" si="13"/>
        <v/>
      </c>
      <c r="M134" t="s">
        <v>535</v>
      </c>
      <c r="N134" t="s">
        <v>353</v>
      </c>
      <c r="O134" t="str">
        <f t="shared" si="14"/>
        <v>Natural Environment and Rivers Division</v>
      </c>
      <c r="P134" t="s">
        <v>448</v>
      </c>
    </row>
    <row r="135" spans="1:16" hidden="1" x14ac:dyDescent="0.4">
      <c r="A135" t="s">
        <v>123</v>
      </c>
      <c r="C135" t="s">
        <v>354</v>
      </c>
      <c r="F135" t="str">
        <f t="shared" si="10"/>
        <v>公園管理課</v>
      </c>
      <c r="G135" t="str">
        <f t="shared" si="11"/>
        <v>公園管理課</v>
      </c>
      <c r="H135" t="b">
        <f t="shared" si="12"/>
        <v>0</v>
      </c>
      <c r="I135" t="str">
        <f t="shared" si="13"/>
        <v/>
      </c>
      <c r="M135" t="s">
        <v>448</v>
      </c>
      <c r="N135" t="s">
        <v>155</v>
      </c>
      <c r="O135" t="str">
        <f t="shared" si="14"/>
        <v>Natural Environment Conservation and Utilization Director</v>
      </c>
      <c r="P135" t="s">
        <v>448</v>
      </c>
    </row>
    <row r="136" spans="1:16" x14ac:dyDescent="0.4">
      <c r="B136" t="s">
        <v>142</v>
      </c>
      <c r="C136" t="s">
        <v>355</v>
      </c>
      <c r="F136" t="str">
        <f t="shared" si="10"/>
        <v/>
      </c>
      <c r="G136" t="str">
        <f t="shared" si="11"/>
        <v/>
      </c>
      <c r="H136" t="b">
        <f t="shared" si="12"/>
        <v>1</v>
      </c>
      <c r="I136" t="str">
        <f t="shared" si="13"/>
        <v/>
      </c>
      <c r="M136" t="s">
        <v>536</v>
      </c>
      <c r="N136" t="s">
        <v>354</v>
      </c>
      <c r="O136" t="str">
        <f t="shared" si="14"/>
        <v>Parks Administration Division</v>
      </c>
      <c r="P136" t="s">
        <v>448</v>
      </c>
    </row>
    <row r="137" spans="1:16" hidden="1" x14ac:dyDescent="0.4">
      <c r="A137" t="s">
        <v>124</v>
      </c>
      <c r="C137" t="s">
        <v>356</v>
      </c>
      <c r="F137" t="str">
        <f t="shared" si="10"/>
        <v>公園建設課</v>
      </c>
      <c r="G137" t="str">
        <f t="shared" si="11"/>
        <v>公園建設課</v>
      </c>
      <c r="H137" t="b">
        <f t="shared" si="12"/>
        <v>0</v>
      </c>
      <c r="I137" t="str">
        <f t="shared" si="13"/>
        <v/>
      </c>
      <c r="M137" t="s">
        <v>448</v>
      </c>
      <c r="N137" t="s">
        <v>355</v>
      </c>
      <c r="O137" t="str">
        <f t="shared" si="14"/>
        <v>Parks Utilization Promotion Director</v>
      </c>
      <c r="P137" t="s">
        <v>448</v>
      </c>
    </row>
    <row r="138" spans="1:16" x14ac:dyDescent="0.4">
      <c r="A138" t="s">
        <v>125</v>
      </c>
      <c r="C138" t="s">
        <v>140</v>
      </c>
      <c r="F138" t="str">
        <f t="shared" si="10"/>
        <v>港湾部</v>
      </c>
      <c r="G138" t="str">
        <f t="shared" si="11"/>
        <v>港湾部</v>
      </c>
      <c r="H138" t="b">
        <f t="shared" si="12"/>
        <v>1</v>
      </c>
      <c r="I138" t="str">
        <f t="shared" si="13"/>
        <v>港湾部</v>
      </c>
      <c r="M138" t="s">
        <v>537</v>
      </c>
      <c r="N138" t="s">
        <v>356</v>
      </c>
      <c r="O138" t="str">
        <f t="shared" si="14"/>
        <v>Parks Construction Division</v>
      </c>
      <c r="P138" t="s">
        <v>448</v>
      </c>
    </row>
    <row r="139" spans="1:16" x14ac:dyDescent="0.4">
      <c r="A139" t="s">
        <v>126</v>
      </c>
      <c r="C139" t="s">
        <v>357</v>
      </c>
      <c r="F139" t="str">
        <f t="shared" si="10"/>
        <v>港湾企画課</v>
      </c>
      <c r="G139" t="str">
        <f t="shared" si="11"/>
        <v>港湾企画課</v>
      </c>
      <c r="H139" t="b">
        <f t="shared" si="12"/>
        <v>0</v>
      </c>
      <c r="I139" t="str">
        <f t="shared" si="13"/>
        <v>港湾部</v>
      </c>
      <c r="M139" t="s">
        <v>538</v>
      </c>
      <c r="N139" t="s">
        <v>140</v>
      </c>
      <c r="O139" t="str">
        <f t="shared" si="14"/>
        <v>Port Management Department</v>
      </c>
      <c r="P139" t="s">
        <v>538</v>
      </c>
    </row>
    <row r="140" spans="1:16" x14ac:dyDescent="0.4">
      <c r="A140" t="s">
        <v>127</v>
      </c>
      <c r="C140" t="s">
        <v>358</v>
      </c>
      <c r="F140" t="str">
        <f t="shared" si="10"/>
        <v>港湾管理課</v>
      </c>
      <c r="G140" t="str">
        <f t="shared" si="11"/>
        <v>港湾管理課</v>
      </c>
      <c r="H140" t="b">
        <f t="shared" si="12"/>
        <v>0</v>
      </c>
      <c r="I140" t="str">
        <f t="shared" si="13"/>
        <v>港湾部</v>
      </c>
      <c r="M140" t="s">
        <v>539</v>
      </c>
      <c r="N140" t="s">
        <v>357</v>
      </c>
      <c r="O140" t="str">
        <f t="shared" si="14"/>
        <v>Port Planning Division</v>
      </c>
      <c r="P140" t="s">
        <v>538</v>
      </c>
    </row>
    <row r="141" spans="1:16" x14ac:dyDescent="0.4">
      <c r="B141" t="s">
        <v>143</v>
      </c>
      <c r="C141" t="s">
        <v>359</v>
      </c>
      <c r="F141" t="str">
        <f t="shared" si="10"/>
        <v/>
      </c>
      <c r="G141" t="str">
        <f t="shared" si="11"/>
        <v/>
      </c>
      <c r="H141" t="b">
        <f t="shared" si="12"/>
        <v>1</v>
      </c>
      <c r="I141" t="str">
        <f t="shared" si="13"/>
        <v/>
      </c>
      <c r="M141" t="s">
        <v>540</v>
      </c>
      <c r="N141" t="s">
        <v>358</v>
      </c>
      <c r="O141" t="str">
        <f t="shared" si="14"/>
        <v>Port Administration Division</v>
      </c>
      <c r="P141" t="s">
        <v>538</v>
      </c>
    </row>
    <row r="142" spans="1:16" hidden="1" x14ac:dyDescent="0.4">
      <c r="A142" t="s">
        <v>128</v>
      </c>
      <c r="C142" t="s">
        <v>360</v>
      </c>
      <c r="F142" t="str">
        <f t="shared" si="10"/>
        <v>港湾整備課</v>
      </c>
      <c r="G142" t="str">
        <f t="shared" si="11"/>
        <v>港湾整備課</v>
      </c>
      <c r="H142" t="b">
        <f t="shared" si="12"/>
        <v>0</v>
      </c>
      <c r="I142" t="str">
        <f t="shared" si="13"/>
        <v/>
      </c>
      <c r="M142" t="s">
        <v>448</v>
      </c>
      <c r="N142" t="s">
        <v>359</v>
      </c>
      <c r="O142" t="str">
        <f t="shared" si="14"/>
        <v>Port Management Director</v>
      </c>
      <c r="P142" t="s">
        <v>448</v>
      </c>
    </row>
    <row r="143" spans="1:16" x14ac:dyDescent="0.4">
      <c r="B143" t="s">
        <v>144</v>
      </c>
      <c r="C143" t="s">
        <v>361</v>
      </c>
      <c r="F143" t="str">
        <f t="shared" si="10"/>
        <v/>
      </c>
      <c r="G143" t="str">
        <f t="shared" si="11"/>
        <v/>
      </c>
      <c r="H143" t="b">
        <f t="shared" si="12"/>
        <v>1</v>
      </c>
      <c r="I143" t="str">
        <f t="shared" si="13"/>
        <v/>
      </c>
      <c r="M143" t="s">
        <v>541</v>
      </c>
      <c r="N143" t="s">
        <v>360</v>
      </c>
      <c r="O143" t="str">
        <f t="shared" si="14"/>
        <v>Port Construction and Maintenance Division</v>
      </c>
      <c r="P143" t="s">
        <v>448</v>
      </c>
    </row>
    <row r="144" spans="1:16" hidden="1" x14ac:dyDescent="0.4">
      <c r="A144" t="s">
        <v>82</v>
      </c>
      <c r="C144" t="s">
        <v>362</v>
      </c>
      <c r="F144" t="str">
        <f t="shared" si="10"/>
        <v>上下水道局</v>
      </c>
      <c r="G144" t="str">
        <f t="shared" si="11"/>
        <v>上下水道局</v>
      </c>
      <c r="H144" t="b">
        <f t="shared" si="12"/>
        <v>1</v>
      </c>
      <c r="I144" t="str">
        <f t="shared" si="13"/>
        <v>上下水道局</v>
      </c>
      <c r="M144" t="s">
        <v>448</v>
      </c>
      <c r="N144" t="s">
        <v>361</v>
      </c>
      <c r="O144" t="str">
        <f t="shared" si="14"/>
        <v>Pier Construction and Maintenance Director</v>
      </c>
      <c r="P144" t="s">
        <v>448</v>
      </c>
    </row>
    <row r="145" spans="1:16" x14ac:dyDescent="0.4">
      <c r="A145" t="s">
        <v>84</v>
      </c>
      <c r="C145" t="s">
        <v>363</v>
      </c>
      <c r="F145" t="str">
        <f t="shared" si="10"/>
        <v>経営部</v>
      </c>
      <c r="G145" t="str">
        <f t="shared" si="11"/>
        <v>経営部</v>
      </c>
      <c r="H145" t="b">
        <f t="shared" si="12"/>
        <v>0</v>
      </c>
      <c r="I145" t="str">
        <f t="shared" si="13"/>
        <v>上下水道局</v>
      </c>
      <c r="M145" t="s">
        <v>542</v>
      </c>
      <c r="N145" t="s">
        <v>362</v>
      </c>
      <c r="O145" t="str">
        <f t="shared" si="14"/>
        <v>Waterworks and Sewerage Bureau</v>
      </c>
      <c r="P145" t="s">
        <v>542</v>
      </c>
    </row>
    <row r="146" spans="1:16" x14ac:dyDescent="0.4">
      <c r="A146" t="s">
        <v>159</v>
      </c>
      <c r="C146" t="s">
        <v>364</v>
      </c>
      <c r="F146" t="str">
        <f t="shared" si="10"/>
        <v>総務課</v>
      </c>
      <c r="G146" t="str">
        <f t="shared" si="11"/>
        <v>総務課</v>
      </c>
      <c r="H146" t="b">
        <f t="shared" si="12"/>
        <v>0</v>
      </c>
      <c r="I146" t="str">
        <f t="shared" si="13"/>
        <v>上下水道局</v>
      </c>
      <c r="M146" t="s">
        <v>543</v>
      </c>
      <c r="N146" t="s">
        <v>363</v>
      </c>
      <c r="O146" t="str">
        <f t="shared" si="14"/>
        <v>Management Department</v>
      </c>
      <c r="P146" t="s">
        <v>542</v>
      </c>
    </row>
    <row r="147" spans="1:16" x14ac:dyDescent="0.4">
      <c r="A147" t="s">
        <v>85</v>
      </c>
      <c r="C147" t="s">
        <v>365</v>
      </c>
      <c r="F147" t="str">
        <f t="shared" si="10"/>
        <v>経営料金課</v>
      </c>
      <c r="G147" t="str">
        <f t="shared" si="11"/>
        <v>経営料金課</v>
      </c>
      <c r="H147" t="b">
        <f t="shared" si="12"/>
        <v>0</v>
      </c>
      <c r="I147" t="str">
        <f t="shared" si="13"/>
        <v>上下水道局</v>
      </c>
      <c r="M147" t="s">
        <v>446</v>
      </c>
      <c r="N147" t="s">
        <v>364</v>
      </c>
      <c r="O147" t="str">
        <f t="shared" si="14"/>
        <v>General Affairs Division</v>
      </c>
      <c r="P147" t="s">
        <v>542</v>
      </c>
    </row>
    <row r="148" spans="1:16" x14ac:dyDescent="0.4">
      <c r="A148" t="s">
        <v>86</v>
      </c>
      <c r="C148" t="s">
        <v>366</v>
      </c>
      <c r="F148" t="str">
        <f t="shared" si="10"/>
        <v>経理課</v>
      </c>
      <c r="G148" t="str">
        <f t="shared" si="11"/>
        <v>経理課</v>
      </c>
      <c r="H148" t="b">
        <f t="shared" si="12"/>
        <v>0</v>
      </c>
      <c r="I148" t="str">
        <f t="shared" si="13"/>
        <v>上下水道局</v>
      </c>
      <c r="M148" t="s">
        <v>544</v>
      </c>
      <c r="N148" t="s">
        <v>365</v>
      </c>
      <c r="O148" t="str">
        <f t="shared" si="14"/>
        <v>Management and Fees Division</v>
      </c>
      <c r="P148" t="s">
        <v>542</v>
      </c>
    </row>
    <row r="149" spans="1:16" x14ac:dyDescent="0.4">
      <c r="A149" t="s">
        <v>87</v>
      </c>
      <c r="C149" t="s">
        <v>367</v>
      </c>
      <c r="F149" t="str">
        <f t="shared" si="10"/>
        <v>用地管理課</v>
      </c>
      <c r="G149" t="str">
        <f t="shared" si="11"/>
        <v>用地管理課</v>
      </c>
      <c r="H149" t="b">
        <f t="shared" si="12"/>
        <v>0</v>
      </c>
      <c r="I149" t="str">
        <f t="shared" si="13"/>
        <v>上下水道局</v>
      </c>
      <c r="M149" t="s">
        <v>545</v>
      </c>
      <c r="N149" t="s">
        <v>366</v>
      </c>
      <c r="O149" t="str">
        <f t="shared" si="14"/>
        <v>Accounting Division</v>
      </c>
      <c r="P149" t="s">
        <v>542</v>
      </c>
    </row>
    <row r="150" spans="1:16" x14ac:dyDescent="0.4">
      <c r="A150" t="s">
        <v>88</v>
      </c>
      <c r="C150" t="s">
        <v>368</v>
      </c>
      <c r="F150" t="str">
        <f t="shared" si="10"/>
        <v>技術部</v>
      </c>
      <c r="G150" t="str">
        <f t="shared" si="11"/>
        <v>技術部</v>
      </c>
      <c r="H150" t="b">
        <f t="shared" si="12"/>
        <v>0</v>
      </c>
      <c r="I150" t="str">
        <f t="shared" si="13"/>
        <v>上下水道局</v>
      </c>
      <c r="M150" t="s">
        <v>546</v>
      </c>
      <c r="N150" t="s">
        <v>367</v>
      </c>
      <c r="O150" t="str">
        <f t="shared" si="14"/>
        <v>Land Administration Division</v>
      </c>
      <c r="P150" t="s">
        <v>542</v>
      </c>
    </row>
    <row r="151" spans="1:16" x14ac:dyDescent="0.4">
      <c r="A151" t="s">
        <v>89</v>
      </c>
      <c r="C151" t="s">
        <v>369</v>
      </c>
      <c r="F151" t="str">
        <f t="shared" si="10"/>
        <v>計画課</v>
      </c>
      <c r="G151" t="str">
        <f t="shared" si="11"/>
        <v>計画課</v>
      </c>
      <c r="H151" t="b">
        <f t="shared" si="12"/>
        <v>0</v>
      </c>
      <c r="I151" t="str">
        <f t="shared" si="13"/>
        <v>上下水道局</v>
      </c>
      <c r="M151" t="s">
        <v>547</v>
      </c>
      <c r="N151" t="s">
        <v>368</v>
      </c>
      <c r="O151" t="str">
        <f t="shared" si="14"/>
        <v>Engineering Department</v>
      </c>
      <c r="P151" t="s">
        <v>542</v>
      </c>
    </row>
    <row r="152" spans="1:16" x14ac:dyDescent="0.4">
      <c r="A152" t="s">
        <v>90</v>
      </c>
      <c r="C152" t="s">
        <v>370</v>
      </c>
      <c r="F152" t="str">
        <f t="shared" si="10"/>
        <v>給排水課</v>
      </c>
      <c r="G152" t="str">
        <f t="shared" si="11"/>
        <v>給排水課</v>
      </c>
      <c r="H152" t="b">
        <f t="shared" si="12"/>
        <v>0</v>
      </c>
      <c r="I152" t="str">
        <f t="shared" si="13"/>
        <v>上下水道局</v>
      </c>
      <c r="M152" t="s">
        <v>548</v>
      </c>
      <c r="N152" t="s">
        <v>369</v>
      </c>
      <c r="O152" t="str">
        <f t="shared" si="14"/>
        <v>Engineering Planning Division</v>
      </c>
      <c r="P152" t="s">
        <v>542</v>
      </c>
    </row>
    <row r="153" spans="1:16" x14ac:dyDescent="0.4">
      <c r="A153" t="s">
        <v>91</v>
      </c>
      <c r="C153" t="s">
        <v>371</v>
      </c>
      <c r="F153" t="str">
        <f t="shared" si="10"/>
        <v>水道管路課</v>
      </c>
      <c r="G153" t="str">
        <f t="shared" si="11"/>
        <v>水道管路課</v>
      </c>
      <c r="H153" t="b">
        <f t="shared" si="12"/>
        <v>0</v>
      </c>
      <c r="I153" t="str">
        <f t="shared" si="13"/>
        <v>上下水道局</v>
      </c>
      <c r="M153" t="s">
        <v>549</v>
      </c>
      <c r="N153" t="s">
        <v>370</v>
      </c>
      <c r="O153" t="str">
        <f t="shared" si="14"/>
        <v>Water Supply and Sewerage Service Division</v>
      </c>
      <c r="P153" t="s">
        <v>542</v>
      </c>
    </row>
    <row r="154" spans="1:16" x14ac:dyDescent="0.4">
      <c r="B154" t="s">
        <v>145</v>
      </c>
      <c r="C154" t="s">
        <v>372</v>
      </c>
      <c r="F154" t="str">
        <f t="shared" si="10"/>
        <v/>
      </c>
      <c r="G154" t="str">
        <f t="shared" si="11"/>
        <v/>
      </c>
      <c r="H154" t="b">
        <f t="shared" si="12"/>
        <v>1</v>
      </c>
      <c r="I154" t="str">
        <f t="shared" si="13"/>
        <v/>
      </c>
      <c r="M154" t="s">
        <v>550</v>
      </c>
      <c r="N154" t="s">
        <v>371</v>
      </c>
      <c r="O154" t="str">
        <f t="shared" si="14"/>
        <v>Waterworks Pipeline Division</v>
      </c>
      <c r="P154" t="s">
        <v>542</v>
      </c>
    </row>
    <row r="155" spans="1:16" hidden="1" x14ac:dyDescent="0.4">
      <c r="A155" t="s">
        <v>373</v>
      </c>
      <c r="C155" t="s">
        <v>374</v>
      </c>
      <c r="F155" t="str">
        <f t="shared" si="10"/>
        <v>水道施設課</v>
      </c>
      <c r="G155" t="str">
        <f t="shared" si="11"/>
        <v>水道施設課</v>
      </c>
      <c r="H155" t="b">
        <f t="shared" si="12"/>
        <v>0</v>
      </c>
      <c r="I155" t="str">
        <f t="shared" si="13"/>
        <v/>
      </c>
      <c r="M155" t="s">
        <v>448</v>
      </c>
      <c r="N155" t="s">
        <v>372</v>
      </c>
      <c r="O155" t="str">
        <f t="shared" si="14"/>
        <v>Pipeline Maintenance Director</v>
      </c>
      <c r="P155" t="s">
        <v>448</v>
      </c>
    </row>
    <row r="156" spans="1:16" x14ac:dyDescent="0.4">
      <c r="A156" t="s">
        <v>92</v>
      </c>
      <c r="C156" t="s">
        <v>375</v>
      </c>
      <c r="F156" t="str">
        <f t="shared" si="10"/>
        <v>浄水課</v>
      </c>
      <c r="G156" t="str">
        <f t="shared" si="11"/>
        <v>浄水課</v>
      </c>
      <c r="H156" t="b">
        <f t="shared" si="12"/>
        <v>0</v>
      </c>
      <c r="I156" t="str">
        <f t="shared" si="13"/>
        <v/>
      </c>
      <c r="M156" t="s">
        <v>551</v>
      </c>
      <c r="N156" t="s">
        <v>374</v>
      </c>
      <c r="O156" t="str">
        <f t="shared" si="14"/>
        <v>Waterworks Facilities Division</v>
      </c>
      <c r="P156" t="s">
        <v>448</v>
      </c>
    </row>
    <row r="157" spans="1:16" x14ac:dyDescent="0.4">
      <c r="B157" t="s">
        <v>93</v>
      </c>
      <c r="C157" t="s">
        <v>376</v>
      </c>
      <c r="F157" t="str">
        <f t="shared" si="10"/>
        <v/>
      </c>
      <c r="G157" t="str">
        <f t="shared" si="11"/>
        <v/>
      </c>
      <c r="H157" t="b">
        <f t="shared" si="12"/>
        <v>1</v>
      </c>
      <c r="I157" t="str">
        <f t="shared" si="13"/>
        <v/>
      </c>
      <c r="M157" t="s">
        <v>552</v>
      </c>
      <c r="N157" t="s">
        <v>375</v>
      </c>
      <c r="O157" t="str">
        <f t="shared" si="14"/>
        <v>Water Purification Division</v>
      </c>
      <c r="P157" t="s">
        <v>448</v>
      </c>
    </row>
    <row r="158" spans="1:16" hidden="1" x14ac:dyDescent="0.4">
      <c r="A158" t="s">
        <v>94</v>
      </c>
      <c r="C158" t="s">
        <v>377</v>
      </c>
      <c r="F158" t="str">
        <f t="shared" si="10"/>
        <v>下水道管渠課</v>
      </c>
      <c r="G158" t="str">
        <f t="shared" si="11"/>
        <v>下水道管渠課</v>
      </c>
      <c r="H158" t="b">
        <f t="shared" si="12"/>
        <v>0</v>
      </c>
      <c r="I158" t="str">
        <f t="shared" si="13"/>
        <v/>
      </c>
      <c r="M158" t="s">
        <v>448</v>
      </c>
      <c r="N158" t="s">
        <v>376</v>
      </c>
      <c r="O158" t="str">
        <f t="shared" si="14"/>
        <v>Arima Purification Plant</v>
      </c>
      <c r="P158" t="s">
        <v>448</v>
      </c>
    </row>
    <row r="159" spans="1:16" x14ac:dyDescent="0.4">
      <c r="A159" t="s">
        <v>95</v>
      </c>
      <c r="C159" t="s">
        <v>378</v>
      </c>
      <c r="F159" t="str">
        <f t="shared" si="10"/>
        <v>水再生課</v>
      </c>
      <c r="G159" t="str">
        <f t="shared" si="11"/>
        <v>水再生課</v>
      </c>
      <c r="H159" t="b">
        <f t="shared" si="12"/>
        <v>0</v>
      </c>
      <c r="I159" t="str">
        <f t="shared" si="13"/>
        <v/>
      </c>
      <c r="M159" t="s">
        <v>553</v>
      </c>
      <c r="N159" t="s">
        <v>377</v>
      </c>
      <c r="O159" t="str">
        <f t="shared" si="14"/>
        <v>Sewerage Pipeline and Drains Division</v>
      </c>
      <c r="P159" t="s">
        <v>448</v>
      </c>
    </row>
    <row r="160" spans="1:16" x14ac:dyDescent="0.4">
      <c r="B160" t="s">
        <v>177</v>
      </c>
      <c r="C160" t="s">
        <v>180</v>
      </c>
      <c r="F160" t="str">
        <f t="shared" si="10"/>
        <v/>
      </c>
      <c r="G160" t="str">
        <f t="shared" si="11"/>
        <v/>
      </c>
      <c r="H160" t="b">
        <f t="shared" si="12"/>
        <v>1</v>
      </c>
      <c r="I160" t="str">
        <f t="shared" si="13"/>
        <v/>
      </c>
      <c r="M160" t="s">
        <v>554</v>
      </c>
      <c r="N160" t="s">
        <v>378</v>
      </c>
      <c r="O160" t="str">
        <f t="shared" si="14"/>
        <v>Sewage Recycling Division</v>
      </c>
      <c r="P160" t="s">
        <v>448</v>
      </c>
    </row>
    <row r="161" spans="1:16" hidden="1" x14ac:dyDescent="0.4">
      <c r="A161" t="s">
        <v>96</v>
      </c>
      <c r="C161" t="s">
        <v>379</v>
      </c>
      <c r="F161" t="str">
        <f t="shared" si="10"/>
        <v>消防局</v>
      </c>
      <c r="G161" t="str">
        <f t="shared" si="11"/>
        <v>消防局</v>
      </c>
      <c r="H161" t="b">
        <f t="shared" si="12"/>
        <v>1</v>
      </c>
      <c r="I161" t="str">
        <f t="shared" si="13"/>
        <v>消防局</v>
      </c>
      <c r="M161" t="s">
        <v>448</v>
      </c>
      <c r="N161" t="s">
        <v>180</v>
      </c>
      <c r="O161" t="str">
        <f t="shared" si="14"/>
        <v>Facility Renewal Director</v>
      </c>
      <c r="P161" t="s">
        <v>448</v>
      </c>
    </row>
    <row r="162" spans="1:16" x14ac:dyDescent="0.4">
      <c r="A162" t="s">
        <v>225</v>
      </c>
      <c r="C162" t="s">
        <v>226</v>
      </c>
      <c r="F162" t="str">
        <f t="shared" si="10"/>
        <v>総務課</v>
      </c>
      <c r="G162" t="str">
        <f t="shared" si="11"/>
        <v>総務課</v>
      </c>
      <c r="H162" t="b">
        <f t="shared" si="12"/>
        <v>0</v>
      </c>
      <c r="I162" t="str">
        <f t="shared" si="13"/>
        <v>消防局</v>
      </c>
      <c r="M162" t="s">
        <v>555</v>
      </c>
      <c r="N162" t="s">
        <v>379</v>
      </c>
      <c r="O162" t="str">
        <f t="shared" si="14"/>
        <v>Fire Bureau</v>
      </c>
      <c r="P162" t="s">
        <v>555</v>
      </c>
    </row>
    <row r="163" spans="1:16" x14ac:dyDescent="0.4">
      <c r="A163" t="s">
        <v>98</v>
      </c>
      <c r="C163" t="s">
        <v>380</v>
      </c>
      <c r="F163" t="str">
        <f t="shared" si="10"/>
        <v>予防課</v>
      </c>
      <c r="G163" t="str">
        <f t="shared" si="11"/>
        <v>予防課</v>
      </c>
      <c r="H163" t="b">
        <f t="shared" si="12"/>
        <v>0</v>
      </c>
      <c r="I163" t="str">
        <f t="shared" si="13"/>
        <v>消防局</v>
      </c>
      <c r="M163" t="s">
        <v>446</v>
      </c>
      <c r="N163" t="s">
        <v>226</v>
      </c>
      <c r="O163" t="str">
        <f t="shared" si="14"/>
        <v>General Affairs Division</v>
      </c>
      <c r="P163" t="s">
        <v>555</v>
      </c>
    </row>
    <row r="164" spans="1:16" x14ac:dyDescent="0.4">
      <c r="A164" t="s">
        <v>99</v>
      </c>
      <c r="C164" t="s">
        <v>381</v>
      </c>
      <c r="F164" t="str">
        <f t="shared" si="10"/>
        <v>警防課</v>
      </c>
      <c r="G164" t="str">
        <f t="shared" si="11"/>
        <v>警防課</v>
      </c>
      <c r="H164" t="b">
        <f t="shared" si="12"/>
        <v>0</v>
      </c>
      <c r="I164" t="str">
        <f t="shared" si="13"/>
        <v>消防局</v>
      </c>
      <c r="M164" t="s">
        <v>556</v>
      </c>
      <c r="N164" t="s">
        <v>380</v>
      </c>
      <c r="O164" t="str">
        <f t="shared" si="14"/>
        <v>Fire Prevention Division</v>
      </c>
      <c r="P164" t="s">
        <v>555</v>
      </c>
    </row>
    <row r="165" spans="1:16" x14ac:dyDescent="0.4">
      <c r="A165" t="s">
        <v>100</v>
      </c>
      <c r="C165" t="s">
        <v>382</v>
      </c>
      <c r="F165" t="str">
        <f t="shared" si="10"/>
        <v>救急課</v>
      </c>
      <c r="G165" t="str">
        <f t="shared" si="11"/>
        <v>救急課</v>
      </c>
      <c r="H165" t="b">
        <f t="shared" si="12"/>
        <v>0</v>
      </c>
      <c r="I165" t="str">
        <f t="shared" si="13"/>
        <v>消防局</v>
      </c>
      <c r="M165" t="s">
        <v>557</v>
      </c>
      <c r="N165" t="s">
        <v>381</v>
      </c>
      <c r="O165" t="str">
        <f t="shared" si="14"/>
        <v>Fire Suppression Division</v>
      </c>
      <c r="P165" t="s">
        <v>555</v>
      </c>
    </row>
    <row r="166" spans="1:16" x14ac:dyDescent="0.4">
      <c r="A166" t="s">
        <v>101</v>
      </c>
      <c r="C166" t="s">
        <v>383</v>
      </c>
      <c r="F166" t="str">
        <f t="shared" si="10"/>
        <v>指令課</v>
      </c>
      <c r="G166" t="str">
        <f t="shared" si="11"/>
        <v>指令課</v>
      </c>
      <c r="H166" t="b">
        <f t="shared" si="12"/>
        <v>0</v>
      </c>
      <c r="I166" t="str">
        <f t="shared" si="13"/>
        <v>消防局</v>
      </c>
      <c r="M166" t="s">
        <v>558</v>
      </c>
      <c r="N166" t="s">
        <v>382</v>
      </c>
      <c r="O166" t="str">
        <f t="shared" si="14"/>
        <v>Emergency Medical Services Division</v>
      </c>
      <c r="P166" t="s">
        <v>555</v>
      </c>
    </row>
    <row r="167" spans="1:16" x14ac:dyDescent="0.4">
      <c r="A167" t="s">
        <v>384</v>
      </c>
      <c r="C167" t="s">
        <v>385</v>
      </c>
      <c r="F167" t="str">
        <f t="shared" si="10"/>
        <v>中央消防署</v>
      </c>
      <c r="G167" t="str">
        <f t="shared" si="11"/>
        <v>中央消防署</v>
      </c>
      <c r="H167" t="b">
        <f t="shared" si="12"/>
        <v>0</v>
      </c>
      <c r="I167" t="str">
        <f t="shared" si="13"/>
        <v>消防局</v>
      </c>
      <c r="M167" t="s">
        <v>559</v>
      </c>
      <c r="N167" t="s">
        <v>383</v>
      </c>
      <c r="O167" t="str">
        <f t="shared" si="14"/>
        <v>Command and Control Division</v>
      </c>
      <c r="P167" t="s">
        <v>555</v>
      </c>
    </row>
    <row r="168" spans="1:16" x14ac:dyDescent="0.4">
      <c r="B168" t="s">
        <v>102</v>
      </c>
      <c r="C168" t="s">
        <v>386</v>
      </c>
      <c r="F168" t="str">
        <f t="shared" si="10"/>
        <v/>
      </c>
      <c r="G168" t="str">
        <f t="shared" si="11"/>
        <v/>
      </c>
      <c r="H168" t="b">
        <f t="shared" si="12"/>
        <v>1</v>
      </c>
      <c r="I168" t="str">
        <f t="shared" si="13"/>
        <v/>
      </c>
      <c r="M168" t="s">
        <v>560</v>
      </c>
      <c r="N168" t="s">
        <v>385</v>
      </c>
      <c r="O168" t="str">
        <f t="shared" si="14"/>
        <v>Chuo Fire Station</v>
      </c>
      <c r="P168" t="s">
        <v>555</v>
      </c>
    </row>
    <row r="169" spans="1:16" hidden="1" x14ac:dyDescent="0.4">
      <c r="B169" t="s">
        <v>103</v>
      </c>
      <c r="C169" t="s">
        <v>387</v>
      </c>
      <c r="F169" t="str">
        <f t="shared" si="10"/>
        <v/>
      </c>
      <c r="G169" t="str">
        <f t="shared" si="11"/>
        <v/>
      </c>
      <c r="H169" t="b">
        <f t="shared" si="12"/>
        <v>1</v>
      </c>
      <c r="I169" t="str">
        <f t="shared" si="13"/>
        <v/>
      </c>
      <c r="M169" t="s">
        <v>448</v>
      </c>
      <c r="N169" t="s">
        <v>386</v>
      </c>
      <c r="O169" t="str">
        <f t="shared" si="14"/>
        <v>Sakamoto Branch</v>
      </c>
      <c r="P169" t="s">
        <v>448</v>
      </c>
    </row>
    <row r="170" spans="1:16" hidden="1" x14ac:dyDescent="0.4">
      <c r="B170" t="s">
        <v>104</v>
      </c>
      <c r="C170" t="s">
        <v>388</v>
      </c>
      <c r="F170" t="str">
        <f t="shared" si="10"/>
        <v/>
      </c>
      <c r="G170" t="str">
        <f t="shared" si="11"/>
        <v/>
      </c>
      <c r="H170" t="b">
        <f t="shared" si="12"/>
        <v>1</v>
      </c>
      <c r="I170" t="str">
        <f t="shared" si="13"/>
        <v/>
      </c>
      <c r="M170" t="s">
        <v>448</v>
      </c>
      <c r="N170" t="s">
        <v>387</v>
      </c>
      <c r="O170" t="str">
        <f t="shared" si="14"/>
        <v>Hirasaku Branch</v>
      </c>
      <c r="P170" t="s">
        <v>448</v>
      </c>
    </row>
    <row r="171" spans="1:16" hidden="1" x14ac:dyDescent="0.4">
      <c r="A171" t="s">
        <v>389</v>
      </c>
      <c r="C171" t="s">
        <v>390</v>
      </c>
      <c r="F171" t="str">
        <f t="shared" si="10"/>
        <v>北消防署</v>
      </c>
      <c r="G171" t="str">
        <f t="shared" si="11"/>
        <v>北消防署</v>
      </c>
      <c r="H171" t="b">
        <f t="shared" si="12"/>
        <v>0</v>
      </c>
      <c r="I171" t="str">
        <f t="shared" si="13"/>
        <v/>
      </c>
      <c r="M171" t="s">
        <v>448</v>
      </c>
      <c r="N171" t="s">
        <v>388</v>
      </c>
      <c r="O171" t="str">
        <f t="shared" si="14"/>
        <v>Miharu Branch</v>
      </c>
      <c r="P171" t="s">
        <v>448</v>
      </c>
    </row>
    <row r="172" spans="1:16" x14ac:dyDescent="0.4">
      <c r="B172" t="s">
        <v>105</v>
      </c>
      <c r="C172" t="s">
        <v>391</v>
      </c>
      <c r="F172" t="str">
        <f t="shared" si="10"/>
        <v/>
      </c>
      <c r="G172" t="str">
        <f t="shared" si="11"/>
        <v/>
      </c>
      <c r="H172" t="b">
        <f t="shared" si="12"/>
        <v>1</v>
      </c>
      <c r="I172" t="str">
        <f t="shared" si="13"/>
        <v/>
      </c>
      <c r="M172" t="s">
        <v>561</v>
      </c>
      <c r="N172" t="s">
        <v>390</v>
      </c>
      <c r="O172" t="str">
        <f t="shared" si="14"/>
        <v>Kita Fire Station</v>
      </c>
      <c r="P172" t="s">
        <v>448</v>
      </c>
    </row>
    <row r="173" spans="1:16" hidden="1" x14ac:dyDescent="0.4">
      <c r="B173" t="s">
        <v>106</v>
      </c>
      <c r="C173" t="s">
        <v>392</v>
      </c>
      <c r="F173" t="str">
        <f t="shared" si="10"/>
        <v/>
      </c>
      <c r="G173" t="str">
        <f t="shared" si="11"/>
        <v/>
      </c>
      <c r="H173" t="b">
        <f t="shared" si="12"/>
        <v>1</v>
      </c>
      <c r="I173" t="str">
        <f t="shared" si="13"/>
        <v/>
      </c>
      <c r="M173" t="s">
        <v>448</v>
      </c>
      <c r="N173" t="s">
        <v>391</v>
      </c>
      <c r="O173" t="str">
        <f t="shared" si="14"/>
        <v>Oppama Branch</v>
      </c>
      <c r="P173" t="s">
        <v>448</v>
      </c>
    </row>
    <row r="174" spans="1:16" hidden="1" x14ac:dyDescent="0.4">
      <c r="A174" t="s">
        <v>393</v>
      </c>
      <c r="C174" t="s">
        <v>394</v>
      </c>
      <c r="F174" t="str">
        <f t="shared" si="10"/>
        <v>南消防署</v>
      </c>
      <c r="G174" t="str">
        <f t="shared" si="11"/>
        <v>南消防署</v>
      </c>
      <c r="H174" t="b">
        <f t="shared" si="12"/>
        <v>0</v>
      </c>
      <c r="I174" t="str">
        <f t="shared" si="13"/>
        <v/>
      </c>
      <c r="M174" t="s">
        <v>448</v>
      </c>
      <c r="N174" t="s">
        <v>392</v>
      </c>
      <c r="O174" t="str">
        <f t="shared" si="14"/>
        <v>Nagaura Branch</v>
      </c>
      <c r="P174" t="s">
        <v>448</v>
      </c>
    </row>
    <row r="175" spans="1:16" x14ac:dyDescent="0.4">
      <c r="B175" t="s">
        <v>395</v>
      </c>
      <c r="C175" t="s">
        <v>396</v>
      </c>
      <c r="F175" t="str">
        <f t="shared" si="10"/>
        <v/>
      </c>
      <c r="G175" t="str">
        <f t="shared" si="11"/>
        <v/>
      </c>
      <c r="H175" t="b">
        <f t="shared" si="12"/>
        <v>1</v>
      </c>
      <c r="I175" t="str">
        <f t="shared" si="13"/>
        <v/>
      </c>
      <c r="M175" t="s">
        <v>562</v>
      </c>
      <c r="N175" t="s">
        <v>394</v>
      </c>
      <c r="O175" t="str">
        <f t="shared" si="14"/>
        <v>Minami Fire Station</v>
      </c>
      <c r="P175" t="s">
        <v>448</v>
      </c>
    </row>
    <row r="176" spans="1:16" hidden="1" x14ac:dyDescent="0.4">
      <c r="B176" t="s">
        <v>107</v>
      </c>
      <c r="C176" t="s">
        <v>397</v>
      </c>
      <c r="F176" t="str">
        <f t="shared" si="10"/>
        <v/>
      </c>
      <c r="G176" t="str">
        <f t="shared" si="11"/>
        <v/>
      </c>
      <c r="H176" t="b">
        <f t="shared" si="12"/>
        <v>1</v>
      </c>
      <c r="I176" t="str">
        <f t="shared" si="13"/>
        <v/>
      </c>
      <c r="M176" t="s">
        <v>448</v>
      </c>
      <c r="N176" t="s">
        <v>396</v>
      </c>
      <c r="O176" t="str">
        <f t="shared" si="14"/>
        <v>Nishi Fire Substation</v>
      </c>
      <c r="P176" t="s">
        <v>448</v>
      </c>
    </row>
    <row r="177" spans="1:16" hidden="1" x14ac:dyDescent="0.4">
      <c r="B177" t="s">
        <v>108</v>
      </c>
      <c r="C177" t="s">
        <v>398</v>
      </c>
      <c r="F177" t="str">
        <f t="shared" si="10"/>
        <v/>
      </c>
      <c r="G177" t="str">
        <f t="shared" si="11"/>
        <v/>
      </c>
      <c r="H177" t="b">
        <f t="shared" si="12"/>
        <v>1</v>
      </c>
      <c r="I177" t="str">
        <f t="shared" si="13"/>
        <v/>
      </c>
      <c r="M177" t="s">
        <v>448</v>
      </c>
      <c r="N177" t="s">
        <v>397</v>
      </c>
      <c r="O177" t="str">
        <f t="shared" si="14"/>
        <v>Uraga Branch</v>
      </c>
      <c r="P177" t="s">
        <v>448</v>
      </c>
    </row>
    <row r="178" spans="1:16" hidden="1" x14ac:dyDescent="0.4">
      <c r="B178" t="s">
        <v>109</v>
      </c>
      <c r="C178" t="s">
        <v>399</v>
      </c>
      <c r="F178" t="str">
        <f t="shared" si="10"/>
        <v/>
      </c>
      <c r="G178" t="str">
        <f t="shared" si="11"/>
        <v/>
      </c>
      <c r="H178" t="b">
        <f t="shared" si="12"/>
        <v>1</v>
      </c>
      <c r="I178" t="str">
        <f t="shared" si="13"/>
        <v/>
      </c>
      <c r="M178" t="s">
        <v>448</v>
      </c>
      <c r="N178" t="s">
        <v>398</v>
      </c>
      <c r="O178" t="str">
        <f t="shared" si="14"/>
        <v>Kurihama Branch</v>
      </c>
      <c r="P178" t="s">
        <v>448</v>
      </c>
    </row>
    <row r="179" spans="1:16" hidden="1" x14ac:dyDescent="0.4">
      <c r="B179" t="s">
        <v>110</v>
      </c>
      <c r="C179" t="s">
        <v>400</v>
      </c>
      <c r="F179" t="str">
        <f t="shared" si="10"/>
        <v/>
      </c>
      <c r="G179" t="str">
        <f t="shared" si="11"/>
        <v/>
      </c>
      <c r="H179" t="b">
        <f t="shared" si="12"/>
        <v>1</v>
      </c>
      <c r="I179" t="str">
        <f t="shared" si="13"/>
        <v/>
      </c>
      <c r="M179" t="s">
        <v>448</v>
      </c>
      <c r="N179" t="s">
        <v>399</v>
      </c>
      <c r="O179" t="str">
        <f t="shared" si="14"/>
        <v>Nobi Branch</v>
      </c>
      <c r="P179" t="s">
        <v>448</v>
      </c>
    </row>
    <row r="180" spans="1:16" hidden="1" x14ac:dyDescent="0.4">
      <c r="A180" t="s">
        <v>111</v>
      </c>
      <c r="C180" t="s">
        <v>401</v>
      </c>
      <c r="F180" t="str">
        <f t="shared" si="10"/>
        <v>三浦消防署</v>
      </c>
      <c r="G180" t="str">
        <f t="shared" si="11"/>
        <v>三浦消防署</v>
      </c>
      <c r="H180" t="b">
        <f t="shared" si="12"/>
        <v>0</v>
      </c>
      <c r="I180" t="str">
        <f t="shared" si="13"/>
        <v/>
      </c>
      <c r="M180" t="s">
        <v>448</v>
      </c>
      <c r="N180" t="s">
        <v>400</v>
      </c>
      <c r="O180" t="str">
        <f t="shared" si="14"/>
        <v>Shonankokusaimura Branch</v>
      </c>
      <c r="P180" t="s">
        <v>448</v>
      </c>
    </row>
    <row r="181" spans="1:16" x14ac:dyDescent="0.4">
      <c r="B181" t="s">
        <v>112</v>
      </c>
      <c r="C181" t="s">
        <v>402</v>
      </c>
      <c r="F181" t="str">
        <f t="shared" si="10"/>
        <v/>
      </c>
      <c r="G181" t="str">
        <f t="shared" si="11"/>
        <v/>
      </c>
      <c r="H181" t="b">
        <f t="shared" si="12"/>
        <v>1</v>
      </c>
      <c r="I181" t="str">
        <f t="shared" si="13"/>
        <v/>
      </c>
      <c r="M181" t="s">
        <v>563</v>
      </c>
      <c r="N181" t="s">
        <v>401</v>
      </c>
      <c r="O181" t="str">
        <f t="shared" si="14"/>
        <v>Miura Fire Station</v>
      </c>
      <c r="P181" t="s">
        <v>448</v>
      </c>
    </row>
    <row r="182" spans="1:16" hidden="1" x14ac:dyDescent="0.4">
      <c r="A182" t="s">
        <v>113</v>
      </c>
      <c r="C182" t="s">
        <v>156</v>
      </c>
      <c r="F182" t="str">
        <f t="shared" si="10"/>
        <v>教育委員会事務局</v>
      </c>
      <c r="G182" t="str">
        <f t="shared" si="11"/>
        <v>教育委員会事務局</v>
      </c>
      <c r="H182" t="b">
        <f t="shared" si="12"/>
        <v>1</v>
      </c>
      <c r="I182" t="str">
        <f t="shared" si="13"/>
        <v>教育委員会事務局</v>
      </c>
      <c r="M182" t="s">
        <v>448</v>
      </c>
      <c r="N182" t="s">
        <v>402</v>
      </c>
      <c r="O182" t="str">
        <f t="shared" si="14"/>
        <v>Misaki Branch</v>
      </c>
      <c r="P182" t="s">
        <v>448</v>
      </c>
    </row>
    <row r="183" spans="1:16" x14ac:dyDescent="0.4">
      <c r="A183" t="s">
        <v>157</v>
      </c>
      <c r="C183" t="s">
        <v>158</v>
      </c>
      <c r="F183" t="str">
        <f t="shared" si="10"/>
        <v>教育総務部</v>
      </c>
      <c r="G183" t="str">
        <f t="shared" si="11"/>
        <v>教育総務部</v>
      </c>
      <c r="H183" t="b">
        <f t="shared" si="12"/>
        <v>0</v>
      </c>
      <c r="I183" t="str">
        <f t="shared" si="13"/>
        <v>教育委員会事務局</v>
      </c>
      <c r="M183" t="s">
        <v>564</v>
      </c>
      <c r="N183" t="s">
        <v>156</v>
      </c>
      <c r="O183" t="str">
        <f t="shared" si="14"/>
        <v>Board of Education</v>
      </c>
      <c r="P183" t="s">
        <v>564</v>
      </c>
    </row>
    <row r="184" spans="1:16" x14ac:dyDescent="0.4">
      <c r="A184" t="s">
        <v>159</v>
      </c>
      <c r="C184" t="s">
        <v>364</v>
      </c>
      <c r="F184" t="str">
        <f t="shared" si="10"/>
        <v>総務課</v>
      </c>
      <c r="G184" t="str">
        <f t="shared" si="11"/>
        <v>総務課</v>
      </c>
      <c r="H184" t="b">
        <f t="shared" si="12"/>
        <v>0</v>
      </c>
      <c r="I184" t="str">
        <f t="shared" si="13"/>
        <v>教育委員会事務局</v>
      </c>
      <c r="M184" t="s">
        <v>565</v>
      </c>
      <c r="N184" t="s">
        <v>158</v>
      </c>
      <c r="O184" t="str">
        <f t="shared" si="14"/>
        <v>Education General Affairs Department</v>
      </c>
      <c r="P184" t="s">
        <v>564</v>
      </c>
    </row>
    <row r="185" spans="1:16" x14ac:dyDescent="0.4">
      <c r="B185" t="s">
        <v>196</v>
      </c>
      <c r="C185" t="s">
        <v>403</v>
      </c>
      <c r="F185" t="str">
        <f t="shared" si="10"/>
        <v/>
      </c>
      <c r="G185" t="str">
        <f t="shared" si="11"/>
        <v/>
      </c>
      <c r="H185" t="b">
        <f t="shared" si="12"/>
        <v>1</v>
      </c>
      <c r="I185" t="str">
        <f t="shared" si="13"/>
        <v/>
      </c>
      <c r="M185" t="s">
        <v>446</v>
      </c>
      <c r="N185" t="s">
        <v>364</v>
      </c>
      <c r="O185" t="str">
        <f t="shared" si="14"/>
        <v>General Affairs Division</v>
      </c>
      <c r="P185" t="s">
        <v>564</v>
      </c>
    </row>
    <row r="186" spans="1:16" hidden="1" x14ac:dyDescent="0.4">
      <c r="A186" t="s">
        <v>160</v>
      </c>
      <c r="C186" t="s">
        <v>404</v>
      </c>
      <c r="F186" t="str">
        <f t="shared" si="10"/>
        <v>教育政策課</v>
      </c>
      <c r="G186" t="str">
        <f t="shared" si="11"/>
        <v>教育政策課</v>
      </c>
      <c r="H186" t="b">
        <f t="shared" si="12"/>
        <v>0</v>
      </c>
      <c r="I186" t="str">
        <f t="shared" si="13"/>
        <v/>
      </c>
      <c r="M186" t="s">
        <v>448</v>
      </c>
      <c r="N186" t="s">
        <v>403</v>
      </c>
      <c r="O186" t="str">
        <f t="shared" si="14"/>
        <v>Education Reform Director</v>
      </c>
      <c r="P186" t="s">
        <v>448</v>
      </c>
    </row>
    <row r="187" spans="1:16" x14ac:dyDescent="0.4">
      <c r="A187" t="s">
        <v>161</v>
      </c>
      <c r="C187" t="s">
        <v>405</v>
      </c>
      <c r="F187" t="str">
        <f t="shared" si="10"/>
        <v>生涯学習課</v>
      </c>
      <c r="G187" t="str">
        <f t="shared" si="11"/>
        <v>生涯学習課</v>
      </c>
      <c r="H187" t="b">
        <f t="shared" si="12"/>
        <v>0</v>
      </c>
      <c r="I187" t="str">
        <f t="shared" si="13"/>
        <v/>
      </c>
      <c r="M187" t="s">
        <v>566</v>
      </c>
      <c r="N187" t="s">
        <v>404</v>
      </c>
      <c r="O187" t="str">
        <f t="shared" si="14"/>
        <v>Education Policy Division</v>
      </c>
      <c r="P187" t="s">
        <v>448</v>
      </c>
    </row>
    <row r="188" spans="1:16" x14ac:dyDescent="0.4">
      <c r="A188" t="s">
        <v>162</v>
      </c>
      <c r="C188" t="s">
        <v>406</v>
      </c>
      <c r="F188" t="str">
        <f t="shared" si="10"/>
        <v>教職員課</v>
      </c>
      <c r="G188" t="str">
        <f t="shared" si="11"/>
        <v>教職員課</v>
      </c>
      <c r="H188" t="b">
        <f t="shared" si="12"/>
        <v>0</v>
      </c>
      <c r="I188" t="str">
        <f t="shared" si="13"/>
        <v/>
      </c>
      <c r="M188" t="s">
        <v>567</v>
      </c>
      <c r="N188" t="s">
        <v>405</v>
      </c>
      <c r="O188" t="str">
        <f t="shared" si="14"/>
        <v>Lifelong Learning Division</v>
      </c>
      <c r="P188" t="s">
        <v>448</v>
      </c>
    </row>
    <row r="189" spans="1:16" x14ac:dyDescent="0.4">
      <c r="A189" t="s">
        <v>163</v>
      </c>
      <c r="C189" t="s">
        <v>407</v>
      </c>
      <c r="F189" t="str">
        <f t="shared" si="10"/>
        <v>学校管理課</v>
      </c>
      <c r="G189" t="str">
        <f t="shared" si="11"/>
        <v>学校管理課</v>
      </c>
      <c r="H189" t="b">
        <f t="shared" si="12"/>
        <v>0</v>
      </c>
      <c r="I189" t="str">
        <f t="shared" si="13"/>
        <v/>
      </c>
      <c r="M189" t="s">
        <v>568</v>
      </c>
      <c r="N189" t="s">
        <v>406</v>
      </c>
      <c r="O189" t="str">
        <f t="shared" si="14"/>
        <v>Educational Personnel Division</v>
      </c>
      <c r="P189" t="s">
        <v>448</v>
      </c>
    </row>
    <row r="190" spans="1:16" x14ac:dyDescent="0.4">
      <c r="A190" t="s">
        <v>164</v>
      </c>
      <c r="C190" t="s">
        <v>408</v>
      </c>
      <c r="F190" t="str">
        <f t="shared" si="10"/>
        <v>中央図書館</v>
      </c>
      <c r="G190" t="str">
        <f t="shared" si="11"/>
        <v>中央図書館</v>
      </c>
      <c r="H190" t="b">
        <f t="shared" si="12"/>
        <v>0</v>
      </c>
      <c r="I190" t="str">
        <f t="shared" si="13"/>
        <v/>
      </c>
      <c r="M190" t="s">
        <v>569</v>
      </c>
      <c r="N190" t="s">
        <v>407</v>
      </c>
      <c r="O190" t="str">
        <f t="shared" si="14"/>
        <v>School Facilities Division</v>
      </c>
      <c r="P190" t="s">
        <v>448</v>
      </c>
    </row>
    <row r="191" spans="1:16" x14ac:dyDescent="0.4">
      <c r="B191" t="s">
        <v>29</v>
      </c>
      <c r="C191" t="s">
        <v>409</v>
      </c>
      <c r="F191" t="str">
        <f t="shared" si="10"/>
        <v/>
      </c>
      <c r="G191" t="str">
        <f t="shared" si="11"/>
        <v/>
      </c>
      <c r="H191" t="b">
        <f t="shared" si="12"/>
        <v>1</v>
      </c>
      <c r="I191" t="str">
        <f t="shared" si="13"/>
        <v/>
      </c>
      <c r="M191" t="s">
        <v>570</v>
      </c>
      <c r="N191" t="s">
        <v>408</v>
      </c>
      <c r="O191" t="str">
        <f t="shared" si="14"/>
        <v>Chuo Library</v>
      </c>
      <c r="P191" t="s">
        <v>448</v>
      </c>
    </row>
    <row r="192" spans="1:16" hidden="1" x14ac:dyDescent="0.4">
      <c r="B192" t="s">
        <v>30</v>
      </c>
      <c r="C192" t="s">
        <v>410</v>
      </c>
      <c r="F192" t="str">
        <f t="shared" si="10"/>
        <v/>
      </c>
      <c r="G192" t="str">
        <f t="shared" si="11"/>
        <v/>
      </c>
      <c r="H192" t="b">
        <f t="shared" si="12"/>
        <v>1</v>
      </c>
      <c r="I192" t="str">
        <f t="shared" si="13"/>
        <v/>
      </c>
      <c r="M192" t="s">
        <v>448</v>
      </c>
      <c r="N192" t="s">
        <v>409</v>
      </c>
      <c r="O192" t="str">
        <f t="shared" si="14"/>
        <v>Kita Library</v>
      </c>
      <c r="P192" t="s">
        <v>448</v>
      </c>
    </row>
    <row r="193" spans="1:16" hidden="1" x14ac:dyDescent="0.4">
      <c r="B193" t="s">
        <v>31</v>
      </c>
      <c r="C193" t="s">
        <v>411</v>
      </c>
      <c r="F193" t="str">
        <f t="shared" si="10"/>
        <v/>
      </c>
      <c r="G193" t="str">
        <f t="shared" si="11"/>
        <v/>
      </c>
      <c r="H193" t="b">
        <f t="shared" si="12"/>
        <v>1</v>
      </c>
      <c r="I193" t="str">
        <f t="shared" si="13"/>
        <v/>
      </c>
      <c r="M193" t="s">
        <v>448</v>
      </c>
      <c r="N193" t="s">
        <v>410</v>
      </c>
      <c r="O193" t="str">
        <f t="shared" si="14"/>
        <v>Minami Library</v>
      </c>
      <c r="P193" t="s">
        <v>448</v>
      </c>
    </row>
    <row r="194" spans="1:16" hidden="1" x14ac:dyDescent="0.4">
      <c r="A194" t="s">
        <v>165</v>
      </c>
      <c r="C194" t="s">
        <v>412</v>
      </c>
      <c r="F194" t="str">
        <f t="shared" ref="F194:F212" si="15">TRIM(A194)</f>
        <v>自然・人文博物館</v>
      </c>
      <c r="G194" t="str">
        <f t="shared" ref="G194:G212" si="16">SUBSTITUTE(SUBSTITUTE(SUBSTITUTE(SUBSTITUTE(F194, "(", ""), ")", ""), "（", ""), "）", "")</f>
        <v>自然・人文博物館</v>
      </c>
      <c r="H194" t="b">
        <f t="shared" ref="H194:H212" si="17">IF(A194=TRIM(A194), TRUE, FALSE)</f>
        <v>0</v>
      </c>
      <c r="I194" t="str">
        <f t="shared" si="13"/>
        <v/>
      </c>
      <c r="M194" t="s">
        <v>448</v>
      </c>
      <c r="N194" t="s">
        <v>411</v>
      </c>
      <c r="O194" t="str">
        <f t="shared" si="14"/>
        <v>Children's Library</v>
      </c>
      <c r="P194" t="s">
        <v>448</v>
      </c>
    </row>
    <row r="195" spans="1:16" x14ac:dyDescent="0.4">
      <c r="A195" t="s">
        <v>32</v>
      </c>
      <c r="C195" t="s">
        <v>413</v>
      </c>
      <c r="F195" t="str">
        <f t="shared" si="15"/>
        <v>博物館運営課</v>
      </c>
      <c r="G195" t="str">
        <f t="shared" si="16"/>
        <v>博物館運営課</v>
      </c>
      <c r="H195" t="b">
        <f t="shared" si="17"/>
        <v>0</v>
      </c>
      <c r="I195" t="str">
        <f t="shared" ref="I195:I212" si="18">IF(H195,G195,I194)</f>
        <v/>
      </c>
      <c r="M195" t="s">
        <v>571</v>
      </c>
      <c r="N195" t="s">
        <v>412</v>
      </c>
      <c r="O195" t="str">
        <f t="shared" ref="O195:O213" si="19">TRIM(N195)</f>
        <v>Yokosuka City Museum</v>
      </c>
      <c r="P195" t="s">
        <v>448</v>
      </c>
    </row>
    <row r="196" spans="1:16" x14ac:dyDescent="0.4">
      <c r="A196" t="s">
        <v>171</v>
      </c>
      <c r="C196" t="s">
        <v>414</v>
      </c>
      <c r="F196" t="str">
        <f t="shared" si="15"/>
        <v>教育研究所</v>
      </c>
      <c r="G196" t="str">
        <f t="shared" si="16"/>
        <v>教育研究所</v>
      </c>
      <c r="H196" t="b">
        <f t="shared" si="17"/>
        <v>0</v>
      </c>
      <c r="I196" t="str">
        <f t="shared" si="18"/>
        <v/>
      </c>
      <c r="M196" t="s">
        <v>572</v>
      </c>
      <c r="N196" t="s">
        <v>413</v>
      </c>
      <c r="O196" t="str">
        <f t="shared" si="19"/>
        <v>Yokosuka City Museum Management Division</v>
      </c>
      <c r="P196" t="s">
        <v>448</v>
      </c>
    </row>
    <row r="197" spans="1:16" x14ac:dyDescent="0.4">
      <c r="B197" t="s">
        <v>146</v>
      </c>
      <c r="C197" t="s">
        <v>415</v>
      </c>
      <c r="F197" t="str">
        <f t="shared" si="15"/>
        <v/>
      </c>
      <c r="G197" t="str">
        <f t="shared" si="16"/>
        <v/>
      </c>
      <c r="H197" t="b">
        <f t="shared" si="17"/>
        <v>1</v>
      </c>
      <c r="I197" t="str">
        <f t="shared" si="18"/>
        <v/>
      </c>
      <c r="M197" t="s">
        <v>573</v>
      </c>
      <c r="N197" t="s">
        <v>414</v>
      </c>
      <c r="O197" t="str">
        <f t="shared" si="19"/>
        <v>Educational Research Institute</v>
      </c>
      <c r="P197" t="s">
        <v>448</v>
      </c>
    </row>
    <row r="198" spans="1:16" hidden="1" x14ac:dyDescent="0.4">
      <c r="A198" t="s">
        <v>166</v>
      </c>
      <c r="C198" t="s">
        <v>172</v>
      </c>
      <c r="F198" t="str">
        <f t="shared" si="15"/>
        <v>学校教育部</v>
      </c>
      <c r="G198" t="str">
        <f t="shared" si="16"/>
        <v>学校教育部</v>
      </c>
      <c r="H198" t="b">
        <f t="shared" si="17"/>
        <v>0</v>
      </c>
      <c r="I198" t="str">
        <f t="shared" si="18"/>
        <v/>
      </c>
      <c r="M198" t="s">
        <v>448</v>
      </c>
      <c r="N198" t="s">
        <v>415</v>
      </c>
      <c r="O198" t="str">
        <f t="shared" si="19"/>
        <v>ICT Education Director</v>
      </c>
      <c r="P198" t="s">
        <v>448</v>
      </c>
    </row>
    <row r="199" spans="1:16" x14ac:dyDescent="0.4">
      <c r="A199" t="s">
        <v>167</v>
      </c>
      <c r="C199" t="s">
        <v>416</v>
      </c>
      <c r="F199" t="str">
        <f t="shared" si="15"/>
        <v>教育指導課</v>
      </c>
      <c r="G199" t="str">
        <f t="shared" si="16"/>
        <v>教育指導課</v>
      </c>
      <c r="H199" t="b">
        <f t="shared" si="17"/>
        <v>0</v>
      </c>
      <c r="I199" t="str">
        <f t="shared" si="18"/>
        <v/>
      </c>
      <c r="M199" t="s">
        <v>574</v>
      </c>
      <c r="N199" t="s">
        <v>172</v>
      </c>
      <c r="O199" t="str">
        <f t="shared" si="19"/>
        <v>Schools and Education Department</v>
      </c>
      <c r="P199" t="s">
        <v>448</v>
      </c>
    </row>
    <row r="200" spans="1:16" x14ac:dyDescent="0.4">
      <c r="A200" t="s">
        <v>168</v>
      </c>
      <c r="C200" t="s">
        <v>417</v>
      </c>
      <c r="F200" t="str">
        <f t="shared" si="15"/>
        <v>支援教育課</v>
      </c>
      <c r="G200" t="str">
        <f t="shared" si="16"/>
        <v>支援教育課</v>
      </c>
      <c r="H200" t="b">
        <f t="shared" si="17"/>
        <v>0</v>
      </c>
      <c r="I200" t="str">
        <f t="shared" si="18"/>
        <v/>
      </c>
      <c r="M200" t="s">
        <v>575</v>
      </c>
      <c r="N200" t="s">
        <v>416</v>
      </c>
      <c r="O200" t="str">
        <f t="shared" si="19"/>
        <v>Education Guidance Division</v>
      </c>
      <c r="P200" t="s">
        <v>448</v>
      </c>
    </row>
    <row r="201" spans="1:16" x14ac:dyDescent="0.4">
      <c r="A201" t="s">
        <v>169</v>
      </c>
      <c r="C201" t="s">
        <v>418</v>
      </c>
      <c r="F201" t="str">
        <f t="shared" si="15"/>
        <v>保健体育課</v>
      </c>
      <c r="G201" t="str">
        <f t="shared" si="16"/>
        <v>保健体育課</v>
      </c>
      <c r="H201" t="b">
        <f t="shared" si="17"/>
        <v>0</v>
      </c>
      <c r="I201" t="str">
        <f t="shared" si="18"/>
        <v/>
      </c>
      <c r="M201" t="s">
        <v>576</v>
      </c>
      <c r="N201" t="s">
        <v>417</v>
      </c>
      <c r="O201" t="str">
        <f t="shared" si="19"/>
        <v>Education Support Division</v>
      </c>
      <c r="P201" t="s">
        <v>448</v>
      </c>
    </row>
    <row r="202" spans="1:16" x14ac:dyDescent="0.4">
      <c r="A202" t="s">
        <v>170</v>
      </c>
      <c r="C202" t="s">
        <v>419</v>
      </c>
      <c r="F202" t="str">
        <f t="shared" si="15"/>
        <v>学校食育課</v>
      </c>
      <c r="G202" t="str">
        <f t="shared" si="16"/>
        <v>学校食育課</v>
      </c>
      <c r="H202" t="b">
        <f t="shared" si="17"/>
        <v>0</v>
      </c>
      <c r="I202" t="str">
        <f t="shared" si="18"/>
        <v/>
      </c>
      <c r="M202" t="s">
        <v>577</v>
      </c>
      <c r="N202" t="s">
        <v>418</v>
      </c>
      <c r="O202" t="str">
        <f t="shared" si="19"/>
        <v>Health and Physical Education Division</v>
      </c>
      <c r="P202" t="s">
        <v>448</v>
      </c>
    </row>
    <row r="203" spans="1:16" x14ac:dyDescent="0.4">
      <c r="A203" t="s">
        <v>114</v>
      </c>
      <c r="C203" t="s">
        <v>173</v>
      </c>
      <c r="F203" t="str">
        <f t="shared" si="15"/>
        <v>選挙管理委員会事務局</v>
      </c>
      <c r="G203" t="str">
        <f t="shared" si="16"/>
        <v>選挙管理委員会事務局</v>
      </c>
      <c r="H203" t="b">
        <f t="shared" si="17"/>
        <v>1</v>
      </c>
      <c r="I203" t="str">
        <f t="shared" si="18"/>
        <v>選挙管理委員会事務局</v>
      </c>
      <c r="M203" t="s">
        <v>578</v>
      </c>
      <c r="N203" t="s">
        <v>419</v>
      </c>
      <c r="O203" t="str">
        <f t="shared" si="19"/>
        <v>School Lunch and Nutrition Education Division</v>
      </c>
      <c r="P203" t="s">
        <v>448</v>
      </c>
    </row>
    <row r="204" spans="1:16" x14ac:dyDescent="0.4">
      <c r="A204" t="s">
        <v>420</v>
      </c>
      <c r="C204" t="s">
        <v>421</v>
      </c>
      <c r="F204" t="str">
        <f t="shared" si="15"/>
        <v>選挙管理課</v>
      </c>
      <c r="G204" t="str">
        <f t="shared" si="16"/>
        <v>選挙管理課</v>
      </c>
      <c r="H204" t="b">
        <f t="shared" si="17"/>
        <v>0</v>
      </c>
      <c r="I204" t="str">
        <f t="shared" si="18"/>
        <v>選挙管理委員会事務局</v>
      </c>
      <c r="M204" t="s">
        <v>579</v>
      </c>
      <c r="N204" t="s">
        <v>173</v>
      </c>
      <c r="O204" t="str">
        <f t="shared" si="19"/>
        <v>Election Administration Committee</v>
      </c>
      <c r="P204" t="s">
        <v>579</v>
      </c>
    </row>
    <row r="205" spans="1:16" x14ac:dyDescent="0.4">
      <c r="A205" t="s">
        <v>115</v>
      </c>
      <c r="C205" t="s">
        <v>174</v>
      </c>
      <c r="F205" t="str">
        <f t="shared" si="15"/>
        <v>監査委員事務局</v>
      </c>
      <c r="G205" t="str">
        <f t="shared" si="16"/>
        <v>監査委員事務局</v>
      </c>
      <c r="H205" t="b">
        <f t="shared" si="17"/>
        <v>1</v>
      </c>
      <c r="I205" t="str">
        <f t="shared" si="18"/>
        <v>監査委員事務局</v>
      </c>
      <c r="M205" t="s">
        <v>580</v>
      </c>
      <c r="N205" t="s">
        <v>421</v>
      </c>
      <c r="O205" t="str">
        <f t="shared" si="19"/>
        <v>Election Administration Division</v>
      </c>
      <c r="P205" t="s">
        <v>579</v>
      </c>
    </row>
    <row r="206" spans="1:16" x14ac:dyDescent="0.4">
      <c r="A206" t="s">
        <v>422</v>
      </c>
      <c r="C206" t="s">
        <v>423</v>
      </c>
      <c r="F206" t="str">
        <f t="shared" si="15"/>
        <v>監査課</v>
      </c>
      <c r="G206" t="str">
        <f t="shared" si="16"/>
        <v>監査課</v>
      </c>
      <c r="H206" t="b">
        <f t="shared" si="17"/>
        <v>0</v>
      </c>
      <c r="I206" t="str">
        <f t="shared" si="18"/>
        <v>監査委員事務局</v>
      </c>
      <c r="M206" t="s">
        <v>581</v>
      </c>
      <c r="N206" t="s">
        <v>174</v>
      </c>
      <c r="O206" t="str">
        <f t="shared" si="19"/>
        <v>Audit Committee</v>
      </c>
      <c r="P206" t="s">
        <v>581</v>
      </c>
    </row>
    <row r="207" spans="1:16" x14ac:dyDescent="0.4">
      <c r="A207" t="s">
        <v>189</v>
      </c>
      <c r="C207" t="s">
        <v>424</v>
      </c>
      <c r="F207" t="str">
        <f t="shared" si="15"/>
        <v>公平委員会</v>
      </c>
      <c r="G207" t="str">
        <f t="shared" si="16"/>
        <v>公平委員会</v>
      </c>
      <c r="H207" t="b">
        <f t="shared" si="17"/>
        <v>1</v>
      </c>
      <c r="I207" t="str">
        <f t="shared" si="18"/>
        <v>公平委員会</v>
      </c>
      <c r="M207" t="s">
        <v>582</v>
      </c>
      <c r="N207" t="s">
        <v>423</v>
      </c>
      <c r="O207" t="str">
        <f t="shared" si="19"/>
        <v>Audit and Inspection Division</v>
      </c>
      <c r="P207" t="s">
        <v>581</v>
      </c>
    </row>
    <row r="208" spans="1:16" x14ac:dyDescent="0.4">
      <c r="A208" t="s">
        <v>190</v>
      </c>
      <c r="C208" t="s">
        <v>425</v>
      </c>
      <c r="F208" t="str">
        <f t="shared" si="15"/>
        <v>農業委員会</v>
      </c>
      <c r="G208" t="str">
        <f t="shared" si="16"/>
        <v>農業委員会</v>
      </c>
      <c r="H208" t="b">
        <f t="shared" si="17"/>
        <v>1</v>
      </c>
      <c r="I208" t="str">
        <f t="shared" si="18"/>
        <v>農業委員会</v>
      </c>
      <c r="M208" t="s">
        <v>583</v>
      </c>
      <c r="N208" t="s">
        <v>424</v>
      </c>
      <c r="O208" t="str">
        <f t="shared" si="19"/>
        <v>Equity Commission</v>
      </c>
      <c r="P208" t="s">
        <v>583</v>
      </c>
    </row>
    <row r="209" spans="1:16" x14ac:dyDescent="0.4">
      <c r="A209" t="s">
        <v>191</v>
      </c>
      <c r="C209" t="s">
        <v>426</v>
      </c>
      <c r="F209" t="str">
        <f t="shared" si="15"/>
        <v>固定資産評価審査委員会</v>
      </c>
      <c r="G209" t="str">
        <f t="shared" si="16"/>
        <v>固定資産評価審査委員会</v>
      </c>
      <c r="H209" t="b">
        <f t="shared" si="17"/>
        <v>1</v>
      </c>
      <c r="I209" t="str">
        <f t="shared" si="18"/>
        <v>固定資産評価審査委員会</v>
      </c>
      <c r="M209" t="s">
        <v>584</v>
      </c>
      <c r="N209" t="s">
        <v>425</v>
      </c>
      <c r="O209" t="str">
        <f t="shared" si="19"/>
        <v>Agricultural Committee</v>
      </c>
      <c r="P209" t="s">
        <v>584</v>
      </c>
    </row>
    <row r="210" spans="1:16" x14ac:dyDescent="0.4">
      <c r="A210" t="s">
        <v>188</v>
      </c>
      <c r="C210" t="s">
        <v>427</v>
      </c>
      <c r="F210" t="str">
        <f t="shared" si="15"/>
        <v>議会</v>
      </c>
      <c r="G210" t="str">
        <f t="shared" si="16"/>
        <v>議会</v>
      </c>
      <c r="H210" t="b">
        <f t="shared" si="17"/>
        <v>1</v>
      </c>
      <c r="I210" t="str">
        <f t="shared" si="18"/>
        <v>議会</v>
      </c>
      <c r="M210" t="s">
        <v>585</v>
      </c>
      <c r="N210" t="s">
        <v>426</v>
      </c>
      <c r="O210" t="str">
        <f t="shared" si="19"/>
        <v>Central Fixed Assets Evaluation Council</v>
      </c>
      <c r="P210" t="s">
        <v>585</v>
      </c>
    </row>
    <row r="211" spans="1:16" x14ac:dyDescent="0.4">
      <c r="A211" t="s">
        <v>116</v>
      </c>
      <c r="C211" t="s">
        <v>428</v>
      </c>
      <c r="F211" t="str">
        <f t="shared" si="15"/>
        <v>総務調査課</v>
      </c>
      <c r="G211" t="str">
        <f t="shared" si="16"/>
        <v>総務調査課</v>
      </c>
      <c r="H211" t="b">
        <f t="shared" si="17"/>
        <v>0</v>
      </c>
      <c r="I211" t="str">
        <f t="shared" si="18"/>
        <v>議会</v>
      </c>
      <c r="M211" t="s">
        <v>586</v>
      </c>
      <c r="N211" t="s">
        <v>427</v>
      </c>
      <c r="O211" t="str">
        <f t="shared" si="19"/>
        <v>City Council</v>
      </c>
      <c r="P211" t="s">
        <v>586</v>
      </c>
    </row>
    <row r="212" spans="1:16" x14ac:dyDescent="0.4">
      <c r="A212" t="s">
        <v>429</v>
      </c>
      <c r="C212" t="s">
        <v>430</v>
      </c>
      <c r="F212" t="str">
        <f t="shared" si="15"/>
        <v>議事課</v>
      </c>
      <c r="G212" t="str">
        <f t="shared" si="16"/>
        <v>議事課</v>
      </c>
      <c r="H212" t="b">
        <f t="shared" si="17"/>
        <v>0</v>
      </c>
      <c r="I212" t="str">
        <f t="shared" si="18"/>
        <v>議会</v>
      </c>
      <c r="M212" t="s">
        <v>587</v>
      </c>
      <c r="N212" t="s">
        <v>428</v>
      </c>
      <c r="O212" t="str">
        <f t="shared" si="19"/>
        <v>General Affairs and Investigation Division</v>
      </c>
      <c r="P212" t="s">
        <v>586</v>
      </c>
    </row>
    <row r="213" spans="1:16" x14ac:dyDescent="0.4">
      <c r="M213" t="s">
        <v>588</v>
      </c>
      <c r="N213" t="s">
        <v>430</v>
      </c>
      <c r="O213" t="str">
        <f t="shared" si="19"/>
        <v>Proceedings Division</v>
      </c>
      <c r="P213" t="s">
        <v>586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FD28-2C7E-4B7D-A911-A3C697B6DAC3}">
  <sheetPr codeName="Sheet3"/>
  <dimension ref="A1:C161"/>
  <sheetViews>
    <sheetView workbookViewId="0">
      <selection activeCell="D13" sqref="D13"/>
    </sheetView>
  </sheetViews>
  <sheetFormatPr defaultRowHeight="18.75" x14ac:dyDescent="0.4"/>
  <sheetData>
    <row r="1" spans="1:3" x14ac:dyDescent="0.4">
      <c r="A1" t="s">
        <v>589</v>
      </c>
      <c r="B1" t="s">
        <v>591</v>
      </c>
      <c r="C1" t="s">
        <v>592</v>
      </c>
    </row>
    <row r="2" spans="1:3" x14ac:dyDescent="0.4">
      <c r="A2" t="s">
        <v>432</v>
      </c>
      <c r="B2" t="s">
        <v>200</v>
      </c>
      <c r="C2" t="s">
        <v>433</v>
      </c>
    </row>
    <row r="3" spans="1:3" x14ac:dyDescent="0.4">
      <c r="A3" t="s">
        <v>434</v>
      </c>
      <c r="B3" t="s">
        <v>593</v>
      </c>
      <c r="C3" t="s">
        <v>432</v>
      </c>
    </row>
    <row r="4" spans="1:3" x14ac:dyDescent="0.4">
      <c r="A4" t="s">
        <v>435</v>
      </c>
      <c r="B4" t="s">
        <v>594</v>
      </c>
      <c r="C4" t="s">
        <v>432</v>
      </c>
    </row>
    <row r="5" spans="1:3" x14ac:dyDescent="0.4">
      <c r="A5" t="s">
        <v>436</v>
      </c>
      <c r="B5" t="s">
        <v>595</v>
      </c>
      <c r="C5" t="s">
        <v>448</v>
      </c>
    </row>
    <row r="6" spans="1:3" x14ac:dyDescent="0.4">
      <c r="A6" t="s">
        <v>449</v>
      </c>
      <c r="B6" t="s">
        <v>596</v>
      </c>
      <c r="C6" t="s">
        <v>448</v>
      </c>
    </row>
    <row r="7" spans="1:3" x14ac:dyDescent="0.4">
      <c r="A7" t="s">
        <v>437</v>
      </c>
      <c r="B7" t="s">
        <v>597</v>
      </c>
      <c r="C7" t="s">
        <v>448</v>
      </c>
    </row>
    <row r="8" spans="1:3" x14ac:dyDescent="0.4">
      <c r="A8" t="s">
        <v>450</v>
      </c>
      <c r="B8" t="s">
        <v>598</v>
      </c>
      <c r="C8" t="s">
        <v>450</v>
      </c>
    </row>
    <row r="9" spans="1:3" x14ac:dyDescent="0.4">
      <c r="A9" t="s">
        <v>451</v>
      </c>
      <c r="B9" t="s">
        <v>599</v>
      </c>
      <c r="C9" t="s">
        <v>450</v>
      </c>
    </row>
    <row r="10" spans="1:3" x14ac:dyDescent="0.4">
      <c r="A10" t="s">
        <v>452</v>
      </c>
      <c r="B10" t="s">
        <v>600</v>
      </c>
      <c r="C10" t="s">
        <v>450</v>
      </c>
    </row>
    <row r="11" spans="1:3" x14ac:dyDescent="0.4">
      <c r="A11" t="s">
        <v>438</v>
      </c>
      <c r="B11" t="s">
        <v>213</v>
      </c>
      <c r="C11" t="s">
        <v>438</v>
      </c>
    </row>
    <row r="12" spans="1:3" x14ac:dyDescent="0.4">
      <c r="A12" t="s">
        <v>439</v>
      </c>
      <c r="B12" t="s">
        <v>601</v>
      </c>
      <c r="C12" t="s">
        <v>438</v>
      </c>
    </row>
    <row r="13" spans="1:3" x14ac:dyDescent="0.4">
      <c r="A13" t="s">
        <v>440</v>
      </c>
      <c r="B13" t="s">
        <v>602</v>
      </c>
      <c r="C13" t="s">
        <v>448</v>
      </c>
    </row>
    <row r="14" spans="1:3" x14ac:dyDescent="0.4">
      <c r="A14" t="s">
        <v>441</v>
      </c>
      <c r="B14" t="s">
        <v>603</v>
      </c>
      <c r="C14" t="s">
        <v>448</v>
      </c>
    </row>
    <row r="15" spans="1:3" x14ac:dyDescent="0.4">
      <c r="A15" t="s">
        <v>453</v>
      </c>
      <c r="B15" t="s">
        <v>604</v>
      </c>
      <c r="C15" t="s">
        <v>453</v>
      </c>
    </row>
    <row r="16" spans="1:3" x14ac:dyDescent="0.4">
      <c r="A16" t="s">
        <v>442</v>
      </c>
      <c r="B16" t="s">
        <v>605</v>
      </c>
      <c r="C16" t="s">
        <v>453</v>
      </c>
    </row>
    <row r="17" spans="1:3" x14ac:dyDescent="0.4">
      <c r="A17" t="s">
        <v>454</v>
      </c>
      <c r="B17" t="s">
        <v>606</v>
      </c>
      <c r="C17" t="s">
        <v>453</v>
      </c>
    </row>
    <row r="18" spans="1:3" x14ac:dyDescent="0.4">
      <c r="A18" t="s">
        <v>443</v>
      </c>
      <c r="B18" t="s">
        <v>607</v>
      </c>
      <c r="C18" t="s">
        <v>453</v>
      </c>
    </row>
    <row r="19" spans="1:3" x14ac:dyDescent="0.4">
      <c r="A19" t="s">
        <v>444</v>
      </c>
      <c r="B19" t="s">
        <v>608</v>
      </c>
      <c r="C19" t="s">
        <v>448</v>
      </c>
    </row>
    <row r="20" spans="1:3" x14ac:dyDescent="0.4">
      <c r="A20" t="s">
        <v>445</v>
      </c>
      <c r="B20" t="s">
        <v>13</v>
      </c>
      <c r="C20" t="s">
        <v>445</v>
      </c>
    </row>
    <row r="21" spans="1:3" x14ac:dyDescent="0.4">
      <c r="A21" t="s">
        <v>446</v>
      </c>
      <c r="B21" t="s">
        <v>609</v>
      </c>
      <c r="C21" t="s">
        <v>445</v>
      </c>
    </row>
    <row r="22" spans="1:3" x14ac:dyDescent="0.4">
      <c r="A22" t="s">
        <v>447</v>
      </c>
      <c r="B22" t="s">
        <v>610</v>
      </c>
      <c r="C22" t="s">
        <v>448</v>
      </c>
    </row>
    <row r="23" spans="1:3" x14ac:dyDescent="0.4">
      <c r="A23" t="s">
        <v>455</v>
      </c>
      <c r="B23" t="s">
        <v>611</v>
      </c>
      <c r="C23" t="s">
        <v>455</v>
      </c>
    </row>
    <row r="24" spans="1:3" x14ac:dyDescent="0.4">
      <c r="A24" t="s">
        <v>456</v>
      </c>
      <c r="B24" t="s">
        <v>612</v>
      </c>
      <c r="C24" t="s">
        <v>455</v>
      </c>
    </row>
    <row r="25" spans="1:3" x14ac:dyDescent="0.4">
      <c r="A25" t="s">
        <v>457</v>
      </c>
      <c r="B25" t="s">
        <v>16</v>
      </c>
      <c r="C25" t="s">
        <v>457</v>
      </c>
    </row>
    <row r="26" spans="1:3" x14ac:dyDescent="0.4">
      <c r="A26" t="s">
        <v>458</v>
      </c>
      <c r="B26" t="s">
        <v>613</v>
      </c>
      <c r="C26" t="s">
        <v>457</v>
      </c>
    </row>
    <row r="27" spans="1:3" x14ac:dyDescent="0.4">
      <c r="A27" t="s">
        <v>459</v>
      </c>
      <c r="B27" t="s">
        <v>614</v>
      </c>
      <c r="C27" t="s">
        <v>457</v>
      </c>
    </row>
    <row r="28" spans="1:3" x14ac:dyDescent="0.4">
      <c r="A28" t="s">
        <v>460</v>
      </c>
      <c r="B28" t="s">
        <v>615</v>
      </c>
      <c r="C28" t="s">
        <v>457</v>
      </c>
    </row>
    <row r="29" spans="1:3" x14ac:dyDescent="0.4">
      <c r="A29" t="s">
        <v>461</v>
      </c>
      <c r="B29" t="s">
        <v>616</v>
      </c>
      <c r="C29" t="s">
        <v>457</v>
      </c>
    </row>
    <row r="30" spans="1:3" x14ac:dyDescent="0.4">
      <c r="A30" t="s">
        <v>20</v>
      </c>
      <c r="B30" t="s">
        <v>240</v>
      </c>
      <c r="C30" t="s">
        <v>20</v>
      </c>
    </row>
    <row r="31" spans="1:3" x14ac:dyDescent="0.4">
      <c r="A31" t="s">
        <v>462</v>
      </c>
      <c r="B31" t="s">
        <v>617</v>
      </c>
      <c r="C31" t="s">
        <v>20</v>
      </c>
    </row>
    <row r="32" spans="1:3" x14ac:dyDescent="0.4">
      <c r="A32" t="s">
        <v>463</v>
      </c>
      <c r="B32" t="s">
        <v>618</v>
      </c>
      <c r="C32" t="s">
        <v>448</v>
      </c>
    </row>
    <row r="33" spans="1:3" x14ac:dyDescent="0.4">
      <c r="A33" t="s">
        <v>464</v>
      </c>
      <c r="B33" t="s">
        <v>619</v>
      </c>
      <c r="C33" t="s">
        <v>448</v>
      </c>
    </row>
    <row r="34" spans="1:3" x14ac:dyDescent="0.4">
      <c r="A34" t="s">
        <v>465</v>
      </c>
      <c r="B34" t="s">
        <v>620</v>
      </c>
      <c r="C34" t="s">
        <v>448</v>
      </c>
    </row>
    <row r="35" spans="1:3" x14ac:dyDescent="0.4">
      <c r="A35" t="s">
        <v>466</v>
      </c>
      <c r="B35" t="s">
        <v>621</v>
      </c>
      <c r="C35" t="s">
        <v>448</v>
      </c>
    </row>
    <row r="36" spans="1:3" x14ac:dyDescent="0.4">
      <c r="A36" t="s">
        <v>467</v>
      </c>
      <c r="B36" t="s">
        <v>622</v>
      </c>
      <c r="C36" t="s">
        <v>448</v>
      </c>
    </row>
    <row r="37" spans="1:3" x14ac:dyDescent="0.4">
      <c r="A37" t="s">
        <v>468</v>
      </c>
      <c r="B37" t="s">
        <v>251</v>
      </c>
      <c r="C37" t="s">
        <v>468</v>
      </c>
    </row>
    <row r="38" spans="1:3" x14ac:dyDescent="0.4">
      <c r="A38" t="s">
        <v>469</v>
      </c>
      <c r="B38" t="s">
        <v>623</v>
      </c>
      <c r="C38" t="s">
        <v>468</v>
      </c>
    </row>
    <row r="39" spans="1:3" x14ac:dyDescent="0.4">
      <c r="A39" t="s">
        <v>470</v>
      </c>
      <c r="B39" t="s">
        <v>624</v>
      </c>
      <c r="C39" t="s">
        <v>468</v>
      </c>
    </row>
    <row r="40" spans="1:3" x14ac:dyDescent="0.4">
      <c r="A40" t="s">
        <v>471</v>
      </c>
      <c r="B40" t="s">
        <v>625</v>
      </c>
      <c r="C40" t="s">
        <v>468</v>
      </c>
    </row>
    <row r="41" spans="1:3" x14ac:dyDescent="0.4">
      <c r="A41" t="s">
        <v>472</v>
      </c>
      <c r="B41" t="s">
        <v>626</v>
      </c>
      <c r="C41" t="s">
        <v>468</v>
      </c>
    </row>
    <row r="42" spans="1:3" x14ac:dyDescent="0.4">
      <c r="A42" t="s">
        <v>473</v>
      </c>
      <c r="B42" t="s">
        <v>259</v>
      </c>
      <c r="C42" t="s">
        <v>473</v>
      </c>
    </row>
    <row r="43" spans="1:3" x14ac:dyDescent="0.4">
      <c r="A43" t="s">
        <v>474</v>
      </c>
      <c r="B43" t="s">
        <v>627</v>
      </c>
      <c r="C43" t="s">
        <v>473</v>
      </c>
    </row>
    <row r="44" spans="1:3" x14ac:dyDescent="0.4">
      <c r="A44" t="s">
        <v>475</v>
      </c>
      <c r="B44" t="s">
        <v>628</v>
      </c>
      <c r="C44" t="s">
        <v>473</v>
      </c>
    </row>
    <row r="45" spans="1:3" x14ac:dyDescent="0.4">
      <c r="A45" t="s">
        <v>476</v>
      </c>
      <c r="B45" t="s">
        <v>629</v>
      </c>
      <c r="C45" t="s">
        <v>448</v>
      </c>
    </row>
    <row r="46" spans="1:3" x14ac:dyDescent="0.4">
      <c r="A46" t="s">
        <v>477</v>
      </c>
      <c r="B46" t="s">
        <v>630</v>
      </c>
      <c r="C46" t="s">
        <v>448</v>
      </c>
    </row>
    <row r="47" spans="1:3" x14ac:dyDescent="0.4">
      <c r="A47" t="s">
        <v>478</v>
      </c>
      <c r="B47" t="s">
        <v>631</v>
      </c>
      <c r="C47" t="s">
        <v>448</v>
      </c>
    </row>
    <row r="48" spans="1:3" x14ac:dyDescent="0.4">
      <c r="A48" t="s">
        <v>479</v>
      </c>
      <c r="B48" t="s">
        <v>632</v>
      </c>
      <c r="C48" t="s">
        <v>448</v>
      </c>
    </row>
    <row r="49" spans="1:3" x14ac:dyDescent="0.4">
      <c r="A49" t="s">
        <v>480</v>
      </c>
      <c r="B49" t="s">
        <v>633</v>
      </c>
      <c r="C49" t="s">
        <v>448</v>
      </c>
    </row>
    <row r="50" spans="1:3" x14ac:dyDescent="0.4">
      <c r="A50" t="s">
        <v>481</v>
      </c>
      <c r="B50" t="s">
        <v>634</v>
      </c>
      <c r="C50" t="s">
        <v>448</v>
      </c>
    </row>
    <row r="51" spans="1:3" x14ac:dyDescent="0.4">
      <c r="A51" t="s">
        <v>482</v>
      </c>
      <c r="B51" t="s">
        <v>635</v>
      </c>
      <c r="C51" t="s">
        <v>448</v>
      </c>
    </row>
    <row r="52" spans="1:3" x14ac:dyDescent="0.4">
      <c r="A52" t="s">
        <v>483</v>
      </c>
      <c r="B52" t="s">
        <v>636</v>
      </c>
      <c r="C52" t="s">
        <v>448</v>
      </c>
    </row>
    <row r="53" spans="1:3" x14ac:dyDescent="0.4">
      <c r="A53" t="s">
        <v>484</v>
      </c>
      <c r="B53" t="s">
        <v>637</v>
      </c>
      <c r="C53" t="s">
        <v>448</v>
      </c>
    </row>
    <row r="54" spans="1:3" x14ac:dyDescent="0.4">
      <c r="A54" t="s">
        <v>485</v>
      </c>
      <c r="B54" t="s">
        <v>638</v>
      </c>
      <c r="C54" t="s">
        <v>448</v>
      </c>
    </row>
    <row r="55" spans="1:3" x14ac:dyDescent="0.4">
      <c r="A55" t="s">
        <v>486</v>
      </c>
      <c r="B55" t="s">
        <v>639</v>
      </c>
      <c r="C55" t="s">
        <v>448</v>
      </c>
    </row>
    <row r="56" spans="1:3" x14ac:dyDescent="0.4">
      <c r="A56" t="s">
        <v>487</v>
      </c>
      <c r="B56" t="s">
        <v>640</v>
      </c>
      <c r="C56" t="s">
        <v>448</v>
      </c>
    </row>
    <row r="57" spans="1:3" x14ac:dyDescent="0.4">
      <c r="A57" t="s">
        <v>488</v>
      </c>
      <c r="B57" t="s">
        <v>641</v>
      </c>
      <c r="C57" t="s">
        <v>448</v>
      </c>
    </row>
    <row r="58" spans="1:3" x14ac:dyDescent="0.4">
      <c r="A58" t="s">
        <v>489</v>
      </c>
      <c r="B58" t="s">
        <v>642</v>
      </c>
      <c r="C58" t="s">
        <v>448</v>
      </c>
    </row>
    <row r="59" spans="1:3" x14ac:dyDescent="0.4">
      <c r="A59" t="s">
        <v>490</v>
      </c>
      <c r="B59" t="s">
        <v>643</v>
      </c>
      <c r="C59" t="s">
        <v>448</v>
      </c>
    </row>
    <row r="60" spans="1:3" x14ac:dyDescent="0.4">
      <c r="A60" t="s">
        <v>491</v>
      </c>
      <c r="B60" t="s">
        <v>644</v>
      </c>
      <c r="C60" t="s">
        <v>448</v>
      </c>
    </row>
    <row r="61" spans="1:3" x14ac:dyDescent="0.4">
      <c r="A61" t="s">
        <v>492</v>
      </c>
      <c r="B61" t="s">
        <v>645</v>
      </c>
      <c r="C61" t="s">
        <v>448</v>
      </c>
    </row>
    <row r="62" spans="1:3" x14ac:dyDescent="0.4">
      <c r="A62" t="s">
        <v>493</v>
      </c>
      <c r="B62" t="s">
        <v>646</v>
      </c>
      <c r="C62" t="s">
        <v>448</v>
      </c>
    </row>
    <row r="63" spans="1:3" x14ac:dyDescent="0.4">
      <c r="A63" t="s">
        <v>494</v>
      </c>
      <c r="B63" t="s">
        <v>647</v>
      </c>
      <c r="C63" t="s">
        <v>448</v>
      </c>
    </row>
    <row r="64" spans="1:3" x14ac:dyDescent="0.4">
      <c r="A64" t="s">
        <v>495</v>
      </c>
      <c r="B64" t="s">
        <v>648</v>
      </c>
      <c r="C64" t="s">
        <v>448</v>
      </c>
    </row>
    <row r="65" spans="1:3" x14ac:dyDescent="0.4">
      <c r="A65" t="s">
        <v>496</v>
      </c>
      <c r="B65" t="s">
        <v>649</v>
      </c>
      <c r="C65" t="s">
        <v>448</v>
      </c>
    </row>
    <row r="66" spans="1:3" x14ac:dyDescent="0.4">
      <c r="A66" t="s">
        <v>497</v>
      </c>
      <c r="B66" t="s">
        <v>650</v>
      </c>
      <c r="C66" t="s">
        <v>448</v>
      </c>
    </row>
    <row r="67" spans="1:3" x14ac:dyDescent="0.4">
      <c r="A67" t="s">
        <v>498</v>
      </c>
      <c r="B67" t="s">
        <v>651</v>
      </c>
      <c r="C67" t="s">
        <v>448</v>
      </c>
    </row>
    <row r="68" spans="1:3" x14ac:dyDescent="0.4">
      <c r="A68" t="s">
        <v>499</v>
      </c>
      <c r="B68" t="s">
        <v>652</v>
      </c>
      <c r="C68" t="s">
        <v>448</v>
      </c>
    </row>
    <row r="69" spans="1:3" x14ac:dyDescent="0.4">
      <c r="A69" t="s">
        <v>500</v>
      </c>
      <c r="B69" t="s">
        <v>653</v>
      </c>
      <c r="C69" t="s">
        <v>448</v>
      </c>
    </row>
    <row r="70" spans="1:3" x14ac:dyDescent="0.4">
      <c r="A70" t="s">
        <v>501</v>
      </c>
      <c r="B70" t="s">
        <v>654</v>
      </c>
      <c r="C70" t="s">
        <v>448</v>
      </c>
    </row>
    <row r="71" spans="1:3" x14ac:dyDescent="0.4">
      <c r="A71" t="s">
        <v>502</v>
      </c>
      <c r="B71" t="s">
        <v>655</v>
      </c>
      <c r="C71" t="s">
        <v>448</v>
      </c>
    </row>
    <row r="72" spans="1:3" x14ac:dyDescent="0.4">
      <c r="A72" t="s">
        <v>503</v>
      </c>
      <c r="B72" t="s">
        <v>656</v>
      </c>
      <c r="C72" t="s">
        <v>448</v>
      </c>
    </row>
    <row r="73" spans="1:3" x14ac:dyDescent="0.4">
      <c r="A73" t="s">
        <v>462</v>
      </c>
      <c r="B73" t="s">
        <v>657</v>
      </c>
      <c r="C73" t="s">
        <v>448</v>
      </c>
    </row>
    <row r="74" spans="1:3" x14ac:dyDescent="0.4">
      <c r="A74" t="s">
        <v>504</v>
      </c>
      <c r="B74" t="s">
        <v>658</v>
      </c>
      <c r="C74" t="s">
        <v>448</v>
      </c>
    </row>
    <row r="75" spans="1:3" x14ac:dyDescent="0.4">
      <c r="A75" t="s">
        <v>505</v>
      </c>
      <c r="B75" t="s">
        <v>659</v>
      </c>
      <c r="C75" t="s">
        <v>448</v>
      </c>
    </row>
    <row r="76" spans="1:3" x14ac:dyDescent="0.4">
      <c r="A76" t="s">
        <v>506</v>
      </c>
      <c r="B76" t="s">
        <v>660</v>
      </c>
      <c r="C76" t="s">
        <v>448</v>
      </c>
    </row>
    <row r="77" spans="1:3" x14ac:dyDescent="0.4">
      <c r="A77" t="s">
        <v>507</v>
      </c>
      <c r="B77" t="s">
        <v>661</v>
      </c>
      <c r="C77" t="s">
        <v>448</v>
      </c>
    </row>
    <row r="78" spans="1:3" x14ac:dyDescent="0.4">
      <c r="A78" t="s">
        <v>508</v>
      </c>
      <c r="B78" t="s">
        <v>662</v>
      </c>
      <c r="C78" t="s">
        <v>448</v>
      </c>
    </row>
    <row r="79" spans="1:3" x14ac:dyDescent="0.4">
      <c r="A79" t="s">
        <v>509</v>
      </c>
      <c r="B79" t="s">
        <v>663</v>
      </c>
      <c r="C79" t="s">
        <v>448</v>
      </c>
    </row>
    <row r="80" spans="1:3" x14ac:dyDescent="0.4">
      <c r="A80" t="s">
        <v>510</v>
      </c>
      <c r="B80" t="s">
        <v>664</v>
      </c>
      <c r="C80" t="s">
        <v>448</v>
      </c>
    </row>
    <row r="81" spans="1:3" x14ac:dyDescent="0.4">
      <c r="A81" t="s">
        <v>511</v>
      </c>
      <c r="B81" t="s">
        <v>323</v>
      </c>
      <c r="C81" t="s">
        <v>511</v>
      </c>
    </row>
    <row r="82" spans="1:3" x14ac:dyDescent="0.4">
      <c r="A82" t="s">
        <v>512</v>
      </c>
      <c r="B82" t="s">
        <v>665</v>
      </c>
      <c r="C82" t="s">
        <v>511</v>
      </c>
    </row>
    <row r="83" spans="1:3" x14ac:dyDescent="0.4">
      <c r="A83" t="s">
        <v>513</v>
      </c>
      <c r="B83" t="s">
        <v>666</v>
      </c>
      <c r="C83" t="s">
        <v>511</v>
      </c>
    </row>
    <row r="84" spans="1:3" x14ac:dyDescent="0.4">
      <c r="A84" t="s">
        <v>514</v>
      </c>
      <c r="B84" t="s">
        <v>667</v>
      </c>
      <c r="C84" t="s">
        <v>511</v>
      </c>
    </row>
    <row r="85" spans="1:3" x14ac:dyDescent="0.4">
      <c r="A85" t="s">
        <v>515</v>
      </c>
      <c r="B85" t="s">
        <v>668</v>
      </c>
      <c r="C85" t="s">
        <v>511</v>
      </c>
    </row>
    <row r="86" spans="1:3" x14ac:dyDescent="0.4">
      <c r="A86" t="s">
        <v>516</v>
      </c>
      <c r="B86" t="s">
        <v>669</v>
      </c>
      <c r="C86" t="s">
        <v>511</v>
      </c>
    </row>
    <row r="87" spans="1:3" x14ac:dyDescent="0.4">
      <c r="A87" t="s">
        <v>517</v>
      </c>
      <c r="B87" t="s">
        <v>670</v>
      </c>
      <c r="C87" t="s">
        <v>511</v>
      </c>
    </row>
    <row r="88" spans="1:3" x14ac:dyDescent="0.4">
      <c r="A88" t="s">
        <v>518</v>
      </c>
      <c r="B88" t="s">
        <v>68</v>
      </c>
      <c r="C88" t="s">
        <v>518</v>
      </c>
    </row>
    <row r="89" spans="1:3" x14ac:dyDescent="0.4">
      <c r="A89" t="s">
        <v>519</v>
      </c>
      <c r="B89" t="s">
        <v>671</v>
      </c>
      <c r="C89" t="s">
        <v>518</v>
      </c>
    </row>
    <row r="90" spans="1:3" x14ac:dyDescent="0.4">
      <c r="A90" t="s">
        <v>520</v>
      </c>
      <c r="B90" t="s">
        <v>672</v>
      </c>
      <c r="C90" t="s">
        <v>518</v>
      </c>
    </row>
    <row r="91" spans="1:3" x14ac:dyDescent="0.4">
      <c r="A91" t="s">
        <v>521</v>
      </c>
      <c r="B91" t="s">
        <v>673</v>
      </c>
      <c r="C91" t="s">
        <v>448</v>
      </c>
    </row>
    <row r="92" spans="1:3" x14ac:dyDescent="0.4">
      <c r="A92" t="s">
        <v>522</v>
      </c>
      <c r="B92" t="s">
        <v>674</v>
      </c>
      <c r="C92" t="s">
        <v>448</v>
      </c>
    </row>
    <row r="93" spans="1:3" x14ac:dyDescent="0.4">
      <c r="A93" t="s">
        <v>523</v>
      </c>
      <c r="B93" t="s">
        <v>73</v>
      </c>
      <c r="C93" t="s">
        <v>523</v>
      </c>
    </row>
    <row r="94" spans="1:3" x14ac:dyDescent="0.4">
      <c r="A94" t="s">
        <v>524</v>
      </c>
      <c r="B94" t="s">
        <v>675</v>
      </c>
      <c r="C94" t="s">
        <v>523</v>
      </c>
    </row>
    <row r="95" spans="1:3" x14ac:dyDescent="0.4">
      <c r="A95" t="s">
        <v>525</v>
      </c>
      <c r="B95" t="s">
        <v>676</v>
      </c>
      <c r="C95" t="s">
        <v>523</v>
      </c>
    </row>
    <row r="96" spans="1:3" x14ac:dyDescent="0.4">
      <c r="A96" t="s">
        <v>526</v>
      </c>
      <c r="B96" t="s">
        <v>677</v>
      </c>
      <c r="C96" t="s">
        <v>523</v>
      </c>
    </row>
    <row r="97" spans="1:3" x14ac:dyDescent="0.4">
      <c r="A97" t="s">
        <v>527</v>
      </c>
      <c r="B97" t="s">
        <v>678</v>
      </c>
      <c r="C97" t="s">
        <v>523</v>
      </c>
    </row>
    <row r="98" spans="1:3" x14ac:dyDescent="0.4">
      <c r="A98" t="s">
        <v>528</v>
      </c>
      <c r="B98" t="s">
        <v>679</v>
      </c>
      <c r="C98" t="s">
        <v>523</v>
      </c>
    </row>
    <row r="99" spans="1:3" x14ac:dyDescent="0.4">
      <c r="A99" t="s">
        <v>529</v>
      </c>
      <c r="B99" t="s">
        <v>680</v>
      </c>
      <c r="C99" t="s">
        <v>523</v>
      </c>
    </row>
    <row r="100" spans="1:3" x14ac:dyDescent="0.4">
      <c r="A100" t="s">
        <v>530</v>
      </c>
      <c r="B100" t="s">
        <v>344</v>
      </c>
      <c r="C100" t="s">
        <v>530</v>
      </c>
    </row>
    <row r="101" spans="1:3" x14ac:dyDescent="0.4">
      <c r="A101" t="s">
        <v>531</v>
      </c>
      <c r="B101" t="s">
        <v>681</v>
      </c>
      <c r="C101" t="s">
        <v>531</v>
      </c>
    </row>
    <row r="102" spans="1:3" x14ac:dyDescent="0.4">
      <c r="A102" t="s">
        <v>532</v>
      </c>
      <c r="B102" t="s">
        <v>682</v>
      </c>
      <c r="C102" t="s">
        <v>448</v>
      </c>
    </row>
    <row r="103" spans="1:3" x14ac:dyDescent="0.4">
      <c r="A103" t="s">
        <v>533</v>
      </c>
      <c r="B103" t="s">
        <v>683</v>
      </c>
      <c r="C103" t="s">
        <v>448</v>
      </c>
    </row>
    <row r="104" spans="1:3" x14ac:dyDescent="0.4">
      <c r="A104" t="s">
        <v>534</v>
      </c>
      <c r="B104" t="s">
        <v>684</v>
      </c>
      <c r="C104" t="s">
        <v>448</v>
      </c>
    </row>
    <row r="105" spans="1:3" x14ac:dyDescent="0.4">
      <c r="A105" t="s">
        <v>535</v>
      </c>
      <c r="B105" t="s">
        <v>685</v>
      </c>
      <c r="C105" t="s">
        <v>448</v>
      </c>
    </row>
    <row r="106" spans="1:3" x14ac:dyDescent="0.4">
      <c r="A106" t="s">
        <v>536</v>
      </c>
      <c r="B106" t="s">
        <v>686</v>
      </c>
      <c r="C106" t="s">
        <v>448</v>
      </c>
    </row>
    <row r="107" spans="1:3" x14ac:dyDescent="0.4">
      <c r="A107" t="s">
        <v>537</v>
      </c>
      <c r="B107" t="s">
        <v>687</v>
      </c>
      <c r="C107" t="s">
        <v>448</v>
      </c>
    </row>
    <row r="108" spans="1:3" x14ac:dyDescent="0.4">
      <c r="A108" t="s">
        <v>538</v>
      </c>
      <c r="B108" t="s">
        <v>140</v>
      </c>
      <c r="C108" t="s">
        <v>538</v>
      </c>
    </row>
    <row r="109" spans="1:3" x14ac:dyDescent="0.4">
      <c r="A109" t="s">
        <v>539</v>
      </c>
      <c r="B109" t="s">
        <v>688</v>
      </c>
      <c r="C109" t="s">
        <v>538</v>
      </c>
    </row>
    <row r="110" spans="1:3" x14ac:dyDescent="0.4">
      <c r="A110" t="s">
        <v>540</v>
      </c>
      <c r="B110" t="s">
        <v>689</v>
      </c>
      <c r="C110" t="s">
        <v>538</v>
      </c>
    </row>
    <row r="111" spans="1:3" x14ac:dyDescent="0.4">
      <c r="A111" t="s">
        <v>541</v>
      </c>
      <c r="B111" t="s">
        <v>690</v>
      </c>
      <c r="C111" t="s">
        <v>448</v>
      </c>
    </row>
    <row r="112" spans="1:3" x14ac:dyDescent="0.4">
      <c r="A112" t="s">
        <v>542</v>
      </c>
      <c r="B112" t="s">
        <v>362</v>
      </c>
      <c r="C112" t="s">
        <v>542</v>
      </c>
    </row>
    <row r="113" spans="1:3" x14ac:dyDescent="0.4">
      <c r="A113" t="s">
        <v>543</v>
      </c>
      <c r="B113" t="s">
        <v>691</v>
      </c>
      <c r="C113" t="s">
        <v>542</v>
      </c>
    </row>
    <row r="114" spans="1:3" x14ac:dyDescent="0.4">
      <c r="A114" t="s">
        <v>446</v>
      </c>
      <c r="B114" t="s">
        <v>609</v>
      </c>
      <c r="C114" t="s">
        <v>542</v>
      </c>
    </row>
    <row r="115" spans="1:3" x14ac:dyDescent="0.4">
      <c r="A115" t="s">
        <v>544</v>
      </c>
      <c r="B115" t="s">
        <v>692</v>
      </c>
      <c r="C115" t="s">
        <v>542</v>
      </c>
    </row>
    <row r="116" spans="1:3" x14ac:dyDescent="0.4">
      <c r="A116" t="s">
        <v>545</v>
      </c>
      <c r="B116" t="s">
        <v>612</v>
      </c>
      <c r="C116" t="s">
        <v>542</v>
      </c>
    </row>
    <row r="117" spans="1:3" x14ac:dyDescent="0.4">
      <c r="A117" t="s">
        <v>546</v>
      </c>
      <c r="B117" t="s">
        <v>693</v>
      </c>
      <c r="C117" t="s">
        <v>542</v>
      </c>
    </row>
    <row r="118" spans="1:3" x14ac:dyDescent="0.4">
      <c r="A118" t="s">
        <v>547</v>
      </c>
      <c r="B118" t="s">
        <v>694</v>
      </c>
      <c r="C118" t="s">
        <v>542</v>
      </c>
    </row>
    <row r="119" spans="1:3" x14ac:dyDescent="0.4">
      <c r="A119" t="s">
        <v>548</v>
      </c>
      <c r="B119" t="s">
        <v>695</v>
      </c>
      <c r="C119" t="s">
        <v>542</v>
      </c>
    </row>
    <row r="120" spans="1:3" x14ac:dyDescent="0.4">
      <c r="A120" t="s">
        <v>549</v>
      </c>
      <c r="B120" t="s">
        <v>696</v>
      </c>
      <c r="C120" t="s">
        <v>542</v>
      </c>
    </row>
    <row r="121" spans="1:3" x14ac:dyDescent="0.4">
      <c r="A121" t="s">
        <v>550</v>
      </c>
      <c r="B121" t="s">
        <v>697</v>
      </c>
      <c r="C121" t="s">
        <v>542</v>
      </c>
    </row>
    <row r="122" spans="1:3" x14ac:dyDescent="0.4">
      <c r="A122" t="s">
        <v>551</v>
      </c>
      <c r="B122" t="s">
        <v>698</v>
      </c>
      <c r="C122" t="s">
        <v>448</v>
      </c>
    </row>
    <row r="123" spans="1:3" x14ac:dyDescent="0.4">
      <c r="A123" t="s">
        <v>552</v>
      </c>
      <c r="B123" t="s">
        <v>699</v>
      </c>
      <c r="C123" t="s">
        <v>448</v>
      </c>
    </row>
    <row r="124" spans="1:3" x14ac:dyDescent="0.4">
      <c r="A124" t="s">
        <v>553</v>
      </c>
      <c r="B124" t="s">
        <v>700</v>
      </c>
      <c r="C124" t="s">
        <v>448</v>
      </c>
    </row>
    <row r="125" spans="1:3" x14ac:dyDescent="0.4">
      <c r="A125" t="s">
        <v>554</v>
      </c>
      <c r="B125" t="s">
        <v>701</v>
      </c>
      <c r="C125" t="s">
        <v>448</v>
      </c>
    </row>
    <row r="126" spans="1:3" x14ac:dyDescent="0.4">
      <c r="A126" t="s">
        <v>555</v>
      </c>
      <c r="B126" t="s">
        <v>379</v>
      </c>
      <c r="C126" t="s">
        <v>555</v>
      </c>
    </row>
    <row r="127" spans="1:3" x14ac:dyDescent="0.4">
      <c r="A127" t="s">
        <v>446</v>
      </c>
      <c r="B127" t="s">
        <v>609</v>
      </c>
      <c r="C127" t="s">
        <v>555</v>
      </c>
    </row>
    <row r="128" spans="1:3" x14ac:dyDescent="0.4">
      <c r="A128" t="s">
        <v>556</v>
      </c>
      <c r="B128" t="s">
        <v>702</v>
      </c>
      <c r="C128" t="s">
        <v>555</v>
      </c>
    </row>
    <row r="129" spans="1:3" x14ac:dyDescent="0.4">
      <c r="A129" t="s">
        <v>557</v>
      </c>
      <c r="B129" t="s">
        <v>703</v>
      </c>
      <c r="C129" t="s">
        <v>555</v>
      </c>
    </row>
    <row r="130" spans="1:3" x14ac:dyDescent="0.4">
      <c r="A130" t="s">
        <v>558</v>
      </c>
      <c r="B130" t="s">
        <v>704</v>
      </c>
      <c r="C130" t="s">
        <v>555</v>
      </c>
    </row>
    <row r="131" spans="1:3" x14ac:dyDescent="0.4">
      <c r="A131" t="s">
        <v>559</v>
      </c>
      <c r="B131" t="s">
        <v>705</v>
      </c>
      <c r="C131" t="s">
        <v>555</v>
      </c>
    </row>
    <row r="132" spans="1:3" x14ac:dyDescent="0.4">
      <c r="A132" t="s">
        <v>560</v>
      </c>
      <c r="B132" t="s">
        <v>706</v>
      </c>
      <c r="C132" t="s">
        <v>555</v>
      </c>
    </row>
    <row r="133" spans="1:3" x14ac:dyDescent="0.4">
      <c r="A133" t="s">
        <v>561</v>
      </c>
      <c r="B133" t="s">
        <v>707</v>
      </c>
      <c r="C133" t="s">
        <v>448</v>
      </c>
    </row>
    <row r="134" spans="1:3" x14ac:dyDescent="0.4">
      <c r="A134" t="s">
        <v>562</v>
      </c>
      <c r="B134" t="s">
        <v>708</v>
      </c>
      <c r="C134" t="s">
        <v>448</v>
      </c>
    </row>
    <row r="135" spans="1:3" x14ac:dyDescent="0.4">
      <c r="A135" t="s">
        <v>563</v>
      </c>
      <c r="B135" t="s">
        <v>709</v>
      </c>
      <c r="C135" t="s">
        <v>448</v>
      </c>
    </row>
    <row r="136" spans="1:3" x14ac:dyDescent="0.4">
      <c r="A136" t="s">
        <v>564</v>
      </c>
      <c r="B136" t="s">
        <v>710</v>
      </c>
      <c r="C136" t="s">
        <v>564</v>
      </c>
    </row>
    <row r="137" spans="1:3" x14ac:dyDescent="0.4">
      <c r="A137" t="s">
        <v>565</v>
      </c>
      <c r="B137" t="s">
        <v>711</v>
      </c>
      <c r="C137" t="s">
        <v>564</v>
      </c>
    </row>
    <row r="138" spans="1:3" x14ac:dyDescent="0.4">
      <c r="A138" t="s">
        <v>446</v>
      </c>
      <c r="B138" t="s">
        <v>609</v>
      </c>
      <c r="C138" t="s">
        <v>564</v>
      </c>
    </row>
    <row r="139" spans="1:3" x14ac:dyDescent="0.4">
      <c r="A139" t="s">
        <v>566</v>
      </c>
      <c r="B139" t="s">
        <v>712</v>
      </c>
      <c r="C139" t="s">
        <v>448</v>
      </c>
    </row>
    <row r="140" spans="1:3" x14ac:dyDescent="0.4">
      <c r="A140" t="s">
        <v>567</v>
      </c>
      <c r="B140" t="s">
        <v>713</v>
      </c>
      <c r="C140" t="s">
        <v>448</v>
      </c>
    </row>
    <row r="141" spans="1:3" x14ac:dyDescent="0.4">
      <c r="A141" t="s">
        <v>568</v>
      </c>
      <c r="B141" t="s">
        <v>714</v>
      </c>
      <c r="C141" t="s">
        <v>448</v>
      </c>
    </row>
    <row r="142" spans="1:3" x14ac:dyDescent="0.4">
      <c r="A142" t="s">
        <v>569</v>
      </c>
      <c r="B142" t="s">
        <v>715</v>
      </c>
      <c r="C142" t="s">
        <v>448</v>
      </c>
    </row>
    <row r="143" spans="1:3" x14ac:dyDescent="0.4">
      <c r="A143" t="s">
        <v>570</v>
      </c>
      <c r="B143" t="s">
        <v>716</v>
      </c>
      <c r="C143" t="s">
        <v>448</v>
      </c>
    </row>
    <row r="144" spans="1:3" x14ac:dyDescent="0.4">
      <c r="A144" t="s">
        <v>571</v>
      </c>
      <c r="B144" t="s">
        <v>717</v>
      </c>
      <c r="C144" t="s">
        <v>448</v>
      </c>
    </row>
    <row r="145" spans="1:3" x14ac:dyDescent="0.4">
      <c r="A145" t="s">
        <v>572</v>
      </c>
      <c r="B145" t="s">
        <v>718</v>
      </c>
      <c r="C145" t="s">
        <v>448</v>
      </c>
    </row>
    <row r="146" spans="1:3" x14ac:dyDescent="0.4">
      <c r="A146" t="s">
        <v>573</v>
      </c>
      <c r="B146" t="s">
        <v>719</v>
      </c>
      <c r="C146" t="s">
        <v>448</v>
      </c>
    </row>
    <row r="147" spans="1:3" x14ac:dyDescent="0.4">
      <c r="A147" t="s">
        <v>574</v>
      </c>
      <c r="B147" t="s">
        <v>720</v>
      </c>
      <c r="C147" t="s">
        <v>448</v>
      </c>
    </row>
    <row r="148" spans="1:3" x14ac:dyDescent="0.4">
      <c r="A148" t="s">
        <v>575</v>
      </c>
      <c r="B148" t="s">
        <v>721</v>
      </c>
      <c r="C148" t="s">
        <v>448</v>
      </c>
    </row>
    <row r="149" spans="1:3" x14ac:dyDescent="0.4">
      <c r="A149" t="s">
        <v>576</v>
      </c>
      <c r="B149" t="s">
        <v>722</v>
      </c>
      <c r="C149" t="s">
        <v>448</v>
      </c>
    </row>
    <row r="150" spans="1:3" x14ac:dyDescent="0.4">
      <c r="A150" t="s">
        <v>577</v>
      </c>
      <c r="B150" t="s">
        <v>723</v>
      </c>
      <c r="C150" t="s">
        <v>448</v>
      </c>
    </row>
    <row r="151" spans="1:3" x14ac:dyDescent="0.4">
      <c r="A151" t="s">
        <v>578</v>
      </c>
      <c r="B151" t="s">
        <v>724</v>
      </c>
      <c r="C151" t="s">
        <v>448</v>
      </c>
    </row>
    <row r="152" spans="1:3" x14ac:dyDescent="0.4">
      <c r="A152" t="s">
        <v>579</v>
      </c>
      <c r="B152" t="s">
        <v>725</v>
      </c>
      <c r="C152" t="s">
        <v>579</v>
      </c>
    </row>
    <row r="153" spans="1:3" x14ac:dyDescent="0.4">
      <c r="A153" t="s">
        <v>580</v>
      </c>
      <c r="B153" t="s">
        <v>726</v>
      </c>
      <c r="C153" t="s">
        <v>579</v>
      </c>
    </row>
    <row r="154" spans="1:3" x14ac:dyDescent="0.4">
      <c r="A154" t="s">
        <v>581</v>
      </c>
      <c r="B154" t="s">
        <v>174</v>
      </c>
      <c r="C154" t="s">
        <v>581</v>
      </c>
    </row>
    <row r="155" spans="1:3" x14ac:dyDescent="0.4">
      <c r="A155" t="s">
        <v>582</v>
      </c>
      <c r="B155" t="s">
        <v>727</v>
      </c>
      <c r="C155" t="s">
        <v>581</v>
      </c>
    </row>
    <row r="156" spans="1:3" x14ac:dyDescent="0.4">
      <c r="A156" t="s">
        <v>583</v>
      </c>
      <c r="B156" t="s">
        <v>424</v>
      </c>
      <c r="C156" t="s">
        <v>583</v>
      </c>
    </row>
    <row r="157" spans="1:3" x14ac:dyDescent="0.4">
      <c r="A157" t="s">
        <v>584</v>
      </c>
      <c r="B157" t="s">
        <v>425</v>
      </c>
      <c r="C157" t="s">
        <v>584</v>
      </c>
    </row>
    <row r="158" spans="1:3" x14ac:dyDescent="0.4">
      <c r="A158" t="s">
        <v>585</v>
      </c>
      <c r="B158" t="s">
        <v>426</v>
      </c>
      <c r="C158" t="s">
        <v>585</v>
      </c>
    </row>
    <row r="159" spans="1:3" x14ac:dyDescent="0.4">
      <c r="A159" t="s">
        <v>586</v>
      </c>
      <c r="B159" t="s">
        <v>728</v>
      </c>
      <c r="C159" t="s">
        <v>586</v>
      </c>
    </row>
    <row r="160" spans="1:3" x14ac:dyDescent="0.4">
      <c r="A160" t="s">
        <v>587</v>
      </c>
      <c r="B160" t="s">
        <v>729</v>
      </c>
      <c r="C160" t="s">
        <v>586</v>
      </c>
    </row>
    <row r="161" spans="1:3" x14ac:dyDescent="0.4">
      <c r="A161" t="s">
        <v>588</v>
      </c>
      <c r="B161" t="s">
        <v>730</v>
      </c>
      <c r="C161" t="s">
        <v>586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横須賀市</dc:creator>
  <cp:lastModifiedBy>横須賀市</cp:lastModifiedBy>
  <cp:lastPrinted>2026-02-17T00:14:23Z</cp:lastPrinted>
  <dcterms:created xsi:type="dcterms:W3CDTF">2022-03-15T02:48:44Z</dcterms:created>
  <dcterms:modified xsi:type="dcterms:W3CDTF">2026-02-19T06:50:14Z</dcterms:modified>
</cp:coreProperties>
</file>